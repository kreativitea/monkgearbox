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240" yWindow="285" windowWidth="17235" windowHeight="6030" activeTab="2"/>
  </bookViews>
  <sheets>
    <sheet name="Dashboard" sheetId="2" r:id="rId1"/>
    <sheet name="Skorn" sheetId="1" state="hidden" r:id="rId2"/>
    <sheet name="Gear" sheetId="3" r:id="rId3"/>
  </sheets>
  <calcPr calcId="145621"/>
</workbook>
</file>

<file path=xl/calcChain.xml><?xml version="1.0" encoding="utf-8"?>
<calcChain xmlns="http://schemas.openxmlformats.org/spreadsheetml/2006/main">
  <c r="S122" i="2" l="1"/>
  <c r="Z124" i="2" l="1"/>
  <c r="Z125" i="2" s="1"/>
  <c r="W27" i="2" s="1"/>
  <c r="S124" i="2"/>
  <c r="S125" i="2" s="1"/>
  <c r="S126" i="2" s="1"/>
  <c r="V24" i="2" s="1"/>
  <c r="S123" i="2"/>
  <c r="P11" i="2" l="1"/>
  <c r="M11" i="2"/>
  <c r="I11" i="2"/>
  <c r="H11" i="2"/>
  <c r="G11" i="2"/>
  <c r="F11" i="2"/>
  <c r="E11" i="2"/>
  <c r="D11" i="2"/>
  <c r="C11" i="2"/>
  <c r="B11" i="2"/>
  <c r="J26" i="2"/>
  <c r="J25" i="2"/>
  <c r="T35" i="2"/>
  <c r="T27" i="2"/>
  <c r="T26" i="2"/>
  <c r="T25" i="2"/>
  <c r="T24" i="2"/>
  <c r="T23" i="2"/>
  <c r="T22" i="2"/>
  <c r="T21" i="2"/>
  <c r="O10" i="2"/>
  <c r="L10" i="2"/>
  <c r="K10" i="2"/>
  <c r="J10" i="2"/>
  <c r="H10" i="2"/>
  <c r="G10" i="2"/>
  <c r="F10" i="2"/>
  <c r="C10" i="2"/>
  <c r="G25" i="2" l="1"/>
  <c r="F25" i="2"/>
  <c r="T34" i="2" l="1"/>
  <c r="T13" i="2" s="1"/>
  <c r="T14" i="2" l="1"/>
  <c r="C109" i="2"/>
  <c r="B109" i="2"/>
  <c r="O16" i="2"/>
  <c r="T16" i="2" l="1"/>
  <c r="T15" i="2"/>
  <c r="T12" i="2"/>
  <c r="T20" i="2" s="1"/>
  <c r="T11" i="2"/>
  <c r="T10" i="2"/>
  <c r="O22" i="2" l="1"/>
  <c r="O9" i="2"/>
  <c r="O21" i="2"/>
  <c r="O20" i="2"/>
  <c r="O13" i="2"/>
  <c r="T17" i="2"/>
  <c r="T18" i="2"/>
  <c r="T29" i="2"/>
  <c r="T28" i="2"/>
  <c r="T9" i="2"/>
  <c r="O23" i="2" l="1"/>
  <c r="T32" i="2" s="1"/>
  <c r="B113" i="2" l="1"/>
  <c r="L134" i="2" s="1"/>
  <c r="B136" i="2" s="1"/>
  <c r="B114" i="2"/>
  <c r="M121" i="2" s="1"/>
  <c r="L121" i="2" l="1"/>
  <c r="B123" i="2" s="1"/>
  <c r="I18" i="2" l="1"/>
  <c r="C9" i="2" l="1"/>
  <c r="G9" i="2"/>
  <c r="J21" i="2"/>
  <c r="M18" i="2" l="1"/>
  <c r="I16" i="2" l="1"/>
  <c r="H9" i="2"/>
  <c r="F9" i="2"/>
  <c r="N22" i="2"/>
  <c r="M22" i="2"/>
  <c r="K22" i="2"/>
  <c r="H22" i="2"/>
  <c r="G22" i="2"/>
  <c r="F22" i="2"/>
  <c r="E22" i="2"/>
  <c r="D22" i="2"/>
  <c r="C22" i="2"/>
  <c r="B22" i="2"/>
  <c r="J9" i="2"/>
  <c r="K9" i="2"/>
  <c r="L9" i="2"/>
  <c r="N21" i="2"/>
  <c r="M21" i="2"/>
  <c r="K21" i="2"/>
  <c r="K20" i="2"/>
  <c r="H21" i="2"/>
  <c r="E21" i="2"/>
  <c r="C21" i="2"/>
  <c r="B21" i="2"/>
  <c r="M20" i="2"/>
  <c r="J20" i="2"/>
  <c r="H20" i="2"/>
  <c r="G20" i="2"/>
  <c r="F20" i="2"/>
  <c r="E20" i="2"/>
  <c r="D20" i="2"/>
  <c r="C20" i="2"/>
  <c r="B20" i="2"/>
  <c r="J19" i="2"/>
  <c r="H19" i="2"/>
  <c r="E19" i="2"/>
  <c r="C19" i="2"/>
  <c r="B19" i="2"/>
  <c r="N18" i="2"/>
  <c r="H18" i="2"/>
  <c r="C18" i="2"/>
  <c r="B18" i="2"/>
  <c r="M17" i="2"/>
  <c r="H17" i="2"/>
  <c r="E17" i="2"/>
  <c r="D17" i="2"/>
  <c r="C17" i="2"/>
  <c r="B17" i="2"/>
  <c r="M16" i="2"/>
  <c r="H16" i="2"/>
  <c r="F16" i="2"/>
  <c r="E16" i="2"/>
  <c r="D16" i="2"/>
  <c r="C16" i="2"/>
  <c r="B16" i="2"/>
  <c r="N15" i="2"/>
  <c r="M15" i="2"/>
  <c r="H15" i="2"/>
  <c r="E15" i="2"/>
  <c r="D15" i="2"/>
  <c r="C15" i="2"/>
  <c r="B15" i="2"/>
  <c r="M14" i="2"/>
  <c r="H14" i="2"/>
  <c r="D14" i="2"/>
  <c r="E14" i="2"/>
  <c r="C14" i="2"/>
  <c r="B14" i="2"/>
  <c r="H13" i="2"/>
  <c r="D13" i="2"/>
  <c r="C13" i="2"/>
  <c r="B13" i="2"/>
  <c r="M12" i="2"/>
  <c r="N12" i="2"/>
  <c r="H12" i="2"/>
  <c r="G12" i="2"/>
  <c r="F12" i="2"/>
  <c r="E12" i="2"/>
  <c r="D12" i="2"/>
  <c r="C12" i="2"/>
  <c r="B12" i="2"/>
  <c r="J16" i="2"/>
  <c r="M13" i="2"/>
  <c r="D19" i="2"/>
  <c r="J22" i="2"/>
  <c r="I22" i="2"/>
  <c r="I19" i="2"/>
  <c r="I20" i="2"/>
  <c r="I21" i="2"/>
  <c r="G21" i="2"/>
  <c r="D21" i="2"/>
  <c r="F21" i="2"/>
  <c r="N20" i="2"/>
  <c r="N19" i="2"/>
  <c r="F19" i="2"/>
  <c r="G19" i="2"/>
  <c r="E18" i="2"/>
  <c r="D18" i="2"/>
  <c r="F18" i="2"/>
  <c r="G18" i="2"/>
  <c r="I17" i="2"/>
  <c r="N17" i="2"/>
  <c r="F17" i="2"/>
  <c r="G17" i="2"/>
  <c r="N16" i="2"/>
  <c r="G16" i="2"/>
  <c r="I15" i="2"/>
  <c r="F15" i="2"/>
  <c r="G15" i="2"/>
  <c r="F14" i="2"/>
  <c r="G14" i="2"/>
  <c r="F13" i="2"/>
  <c r="E13" i="2"/>
  <c r="G13" i="2"/>
  <c r="Q23" i="2"/>
  <c r="D23" i="2" l="1"/>
  <c r="M23" i="2"/>
  <c r="H23" i="2"/>
  <c r="H24" i="2" s="1"/>
  <c r="B23" i="2"/>
  <c r="C23" i="2"/>
  <c r="C24" i="2" s="1"/>
  <c r="J23" i="2"/>
  <c r="J24" i="2" s="1"/>
  <c r="K23" i="2"/>
  <c r="N23" i="2"/>
  <c r="I23" i="2"/>
  <c r="E23" i="2"/>
  <c r="G23" i="2"/>
  <c r="G24" i="2" s="1"/>
  <c r="F23" i="2"/>
  <c r="F24" i="2" s="1"/>
  <c r="Q24" i="2"/>
  <c r="I24" i="2" l="1"/>
  <c r="W9" i="2" s="1"/>
  <c r="B135" i="2"/>
  <c r="J121" i="2"/>
  <c r="I121" i="2"/>
  <c r="B133" i="2"/>
  <c r="B120" i="2"/>
  <c r="W11" i="2"/>
  <c r="W10" i="2"/>
  <c r="W18" i="2"/>
  <c r="W17" i="2"/>
  <c r="W20" i="2"/>
  <c r="Q25" i="2"/>
  <c r="K18" i="1"/>
  <c r="J18" i="1"/>
  <c r="B134" i="2" l="1"/>
  <c r="B140" i="2" s="1"/>
  <c r="B121" i="2"/>
  <c r="B122" i="2"/>
  <c r="W15" i="2"/>
  <c r="W16" i="2" s="1"/>
  <c r="E18" i="1"/>
  <c r="L18" i="1"/>
  <c r="Q4" i="1" s="1"/>
  <c r="K2" i="1" s="1"/>
  <c r="J2" i="1"/>
  <c r="N19" i="1"/>
  <c r="W19" i="2" l="1"/>
  <c r="B127" i="2"/>
  <c r="W12" i="2" s="1"/>
  <c r="M2" i="1"/>
  <c r="D18" i="1"/>
  <c r="D19" i="1" s="1"/>
  <c r="D21" i="1" s="1"/>
  <c r="F18" i="1"/>
  <c r="F19" i="1" s="1"/>
  <c r="Q3" i="1" s="1"/>
  <c r="G18" i="1"/>
  <c r="G19" i="1" s="1"/>
  <c r="H18" i="1"/>
  <c r="I18" i="1"/>
  <c r="N18" i="1"/>
  <c r="N20" i="1" s="1"/>
  <c r="C18" i="1"/>
  <c r="B18" i="1"/>
  <c r="B19" i="1" s="1"/>
  <c r="Q10" i="1" s="1"/>
  <c r="W21" i="2" l="1"/>
  <c r="Q12" i="1"/>
  <c r="Q9" i="1"/>
  <c r="E19" i="1"/>
  <c r="E22" i="1" s="1"/>
  <c r="C19" i="1" s="1"/>
  <c r="C22" i="1" s="1"/>
  <c r="Q6" i="1" s="1"/>
  <c r="Q7" i="1" l="1"/>
  <c r="Q14" i="1" l="1"/>
  <c r="Q15" i="1" s="1"/>
</calcChain>
</file>

<file path=xl/sharedStrings.xml><?xml version="1.0" encoding="utf-8"?>
<sst xmlns="http://schemas.openxmlformats.org/spreadsheetml/2006/main" count="431" uniqueCount="179">
  <si>
    <t>Armor</t>
  </si>
  <si>
    <t>All resist</t>
  </si>
  <si>
    <t>Vitality</t>
  </si>
  <si>
    <t>Intelligence</t>
  </si>
  <si>
    <t>Crit chance</t>
  </si>
  <si>
    <t>LoH</t>
  </si>
  <si>
    <t>Chest</t>
  </si>
  <si>
    <t>Pants</t>
  </si>
  <si>
    <t>Hat</t>
  </si>
  <si>
    <t>Belt</t>
  </si>
  <si>
    <t>Bracers</t>
  </si>
  <si>
    <t>Boots</t>
  </si>
  <si>
    <t>Life %</t>
  </si>
  <si>
    <t>Ring 2</t>
  </si>
  <si>
    <t>Gloves</t>
  </si>
  <si>
    <t>Shoulders</t>
  </si>
  <si>
    <t>Amulet</t>
  </si>
  <si>
    <t>IAS</t>
  </si>
  <si>
    <t>APS</t>
  </si>
  <si>
    <t>crit damage</t>
  </si>
  <si>
    <t>cost</t>
  </si>
  <si>
    <t>Helm</t>
  </si>
  <si>
    <t>Weapon</t>
  </si>
  <si>
    <t>Other</t>
  </si>
  <si>
    <t>crit chance</t>
  </si>
  <si>
    <t>HP</t>
  </si>
  <si>
    <t>Total APS</t>
  </si>
  <si>
    <t>Paragon =</t>
  </si>
  <si>
    <t>Gear Total</t>
  </si>
  <si>
    <t>Target APS =</t>
  </si>
  <si>
    <t>Gear + Base</t>
  </si>
  <si>
    <t>Armor/Str</t>
  </si>
  <si>
    <t>Add Gems -&gt;</t>
  </si>
  <si>
    <t>APS needed</t>
  </si>
  <si>
    <t>from gear =</t>
  </si>
  <si>
    <t>Total cost =</t>
  </si>
  <si>
    <t>Gems =</t>
  </si>
  <si>
    <t>EHP</t>
  </si>
  <si>
    <t>All resist DR</t>
  </si>
  <si>
    <t>Armor DR</t>
  </si>
  <si>
    <t>Total DR</t>
  </si>
  <si>
    <t>Cost of Gems</t>
  </si>
  <si>
    <t>Mojo</t>
  </si>
  <si>
    <t>Zuni ring</t>
  </si>
  <si>
    <t>Pickup Rad</t>
  </si>
  <si>
    <t>GlobesBon</t>
  </si>
  <si>
    <t>Zuni bonus -&gt;</t>
  </si>
  <si>
    <t>WD - Skorn</t>
  </si>
  <si>
    <t>Ring 1</t>
  </si>
  <si>
    <t>MH Wep</t>
  </si>
  <si>
    <t>OH Wep</t>
  </si>
  <si>
    <t>Dex</t>
  </si>
  <si>
    <t>SR</t>
  </si>
  <si>
    <t>AR</t>
  </si>
  <si>
    <t>CC</t>
  </si>
  <si>
    <t>Rings</t>
  </si>
  <si>
    <t>Average Damage</t>
  </si>
  <si>
    <t>AS</t>
  </si>
  <si>
    <t>MH</t>
  </si>
  <si>
    <t>LS</t>
  </si>
  <si>
    <t>CD</t>
  </si>
  <si>
    <t>OH</t>
  </si>
  <si>
    <t>LS%</t>
  </si>
  <si>
    <t>Crit Damage</t>
  </si>
  <si>
    <t>Resist DR</t>
  </si>
  <si>
    <t>Max HP</t>
  </si>
  <si>
    <t>Strength</t>
  </si>
  <si>
    <t xml:space="preserve">Gear/Base/Gems  </t>
  </si>
  <si>
    <t>Inna's Bonus ----&gt;</t>
  </si>
  <si>
    <t>Gems --&gt;</t>
  </si>
  <si>
    <t xml:space="preserve">Paragon = </t>
  </si>
  <si>
    <t>TARGET VALUES</t>
  </si>
  <si>
    <t>Vit</t>
  </si>
  <si>
    <t>Int</t>
  </si>
  <si>
    <t>Actual Values</t>
  </si>
  <si>
    <t>Resists</t>
  </si>
  <si>
    <t>Gem --&gt;</t>
  </si>
  <si>
    <t>Dmg Mit</t>
  </si>
  <si>
    <t>Calculated</t>
  </si>
  <si>
    <t>OWE</t>
  </si>
  <si>
    <t>Buffs</t>
  </si>
  <si>
    <t>STI</t>
  </si>
  <si>
    <t>(y/n)</t>
  </si>
  <si>
    <t>y</t>
  </si>
  <si>
    <t>n</t>
  </si>
  <si>
    <t xml:space="preserve">Armor </t>
  </si>
  <si>
    <t>Number</t>
  </si>
  <si>
    <t>Radiant Star</t>
  </si>
  <si>
    <t>Perfect Star</t>
  </si>
  <si>
    <t>Flawless Star</t>
  </si>
  <si>
    <t>Star</t>
  </si>
  <si>
    <t>Radiant Square</t>
  </si>
  <si>
    <t>Perfect Square</t>
  </si>
  <si>
    <t>Flawless Square</t>
  </si>
  <si>
    <t>Value</t>
  </si>
  <si>
    <t>Emerald (dexterity)</t>
  </si>
  <si>
    <t>Amethyst (vitality)</t>
  </si>
  <si>
    <t>GEMS</t>
  </si>
  <si>
    <t>Min DMG:</t>
  </si>
  <si>
    <t>Max DMG:</t>
  </si>
  <si>
    <t>Calculated AS</t>
  </si>
  <si>
    <t>Elemental Min</t>
  </si>
  <si>
    <t>Elemental Max</t>
  </si>
  <si>
    <t>Physical Min</t>
  </si>
  <si>
    <t>Physical Max</t>
  </si>
  <si>
    <t>MIN</t>
  </si>
  <si>
    <t>MAX</t>
  </si>
  <si>
    <t>Totals</t>
  </si>
  <si>
    <t>MH Bonus</t>
  </si>
  <si>
    <t>OH Bonus</t>
  </si>
  <si>
    <t xml:space="preserve"> Min Dmg</t>
  </si>
  <si>
    <t>Max Dmg</t>
  </si>
  <si>
    <t>Min Dmg</t>
  </si>
  <si>
    <t>Stat DPS</t>
  </si>
  <si>
    <t>Elem. Damage</t>
  </si>
  <si>
    <t>Gear</t>
  </si>
  <si>
    <t>Min Elem.</t>
  </si>
  <si>
    <t>Max Elem</t>
  </si>
  <si>
    <t>Weapon AS Bonus</t>
  </si>
  <si>
    <t>Base APS</t>
  </si>
  <si>
    <t>Min DMG</t>
  </si>
  <si>
    <t xml:space="preserve"> +Attacks per Sec</t>
  </si>
  <si>
    <t>dex</t>
  </si>
  <si>
    <t>vit</t>
  </si>
  <si>
    <t>Elem Dmg %</t>
  </si>
  <si>
    <t>Dual Wield</t>
  </si>
  <si>
    <t>Total  =</t>
  </si>
  <si>
    <t xml:space="preserve">MH Weapon </t>
  </si>
  <si>
    <t xml:space="preserve">OH Weapon </t>
  </si>
  <si>
    <t>Elem Dmg</t>
  </si>
  <si>
    <t>Total Red.</t>
  </si>
  <si>
    <t>Str</t>
  </si>
  <si>
    <t>S</t>
  </si>
  <si>
    <t>C</t>
  </si>
  <si>
    <t>R</t>
  </si>
  <si>
    <t>A</t>
  </si>
  <si>
    <t>M</t>
  </si>
  <si>
    <t>MH Speed</t>
  </si>
  <si>
    <t>OH Speed</t>
  </si>
  <si>
    <t>MH DMG</t>
  </si>
  <si>
    <t>OH DMG</t>
  </si>
  <si>
    <t>Total</t>
  </si>
  <si>
    <t>Single Wield</t>
  </si>
  <si>
    <t>Min/Max value</t>
  </si>
  <si>
    <t>Ruby for Wep?</t>
  </si>
  <si>
    <t>#1</t>
  </si>
  <si>
    <t>#2</t>
  </si>
  <si>
    <t>Emerald for Wep?</t>
  </si>
  <si>
    <t>Weapons Gems</t>
  </si>
  <si>
    <t>Blackthorns ------&gt;</t>
  </si>
  <si>
    <t>Gear Gems</t>
  </si>
  <si>
    <t>Shield</t>
  </si>
  <si>
    <t>Block %</t>
  </si>
  <si>
    <t>Nats Bonus ------&gt;</t>
  </si>
  <si>
    <t>MH Emer</t>
  </si>
  <si>
    <t>OH Emer</t>
  </si>
  <si>
    <t>Overall EHP w/block</t>
  </si>
  <si>
    <t xml:space="preserve"> ~Monk Gearbox 2.0~</t>
  </si>
  <si>
    <t>MH +% Damage</t>
  </si>
  <si>
    <t>OH +% Damage</t>
  </si>
  <si>
    <t xml:space="preserve"> +% Damage</t>
  </si>
  <si>
    <t xml:space="preserve"> + % Damage</t>
  </si>
  <si>
    <t>min</t>
  </si>
  <si>
    <t>max</t>
  </si>
  <si>
    <t>Incoming Hit</t>
  </si>
  <si>
    <t>After normal mitigation</t>
  </si>
  <si>
    <t>Average Block</t>
  </si>
  <si>
    <t>Average Block amount</t>
  </si>
  <si>
    <t>EHP Gained</t>
  </si>
  <si>
    <t>Total EHP</t>
  </si>
  <si>
    <t>Monster hits you with 70K damage</t>
  </si>
  <si>
    <t>Reists/Armor mitgate down to:</t>
  </si>
  <si>
    <t>Min+max/2 rfrom shield damage block</t>
  </si>
  <si>
    <t>Average Block amount * block %</t>
  </si>
  <si>
    <t>EHP gained + Total 'calculated' EHP</t>
  </si>
  <si>
    <t xml:space="preserve"> block avg / total mitigation %</t>
  </si>
  <si>
    <t>Slider Block</t>
  </si>
  <si>
    <t>Block Slider</t>
  </si>
  <si>
    <t>EHP w /Block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</si>
</sst>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0.0%"/>
    <numFmt numFmtId="165" formatCode="d\-mmm;@"/>
    <numFmt numFmtId="166" formatCode=".00"/>
    <numFmt numFmtId="167" formatCode="0.000"/>
    <numFmt numFmtId="168" formatCode="0.0"/>
    <numFmt numFmtId="169" formatCode="0.0000"/>
  </numFmts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22"/>
      <color theme="1"/>
      <name val="Cordia New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7" fillId="0" borderId="0"/>
    <xf numFmtId="0" fontId="6" fillId="0" borderId="0"/>
    <xf numFmtId="0" fontId="6" fillId="0" borderId="0"/>
    <xf numFmtId="0" fontId="7" fillId="0" borderId="0"/>
    <xf numFmtId="44" fontId="7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9" fontId="1" fillId="2" borderId="2" xfId="0" applyNumberFormat="1" applyFont="1" applyFill="1" applyBorder="1" applyAlignment="1">
      <alignment horizontal="center"/>
    </xf>
    <xf numFmtId="0" fontId="1" fillId="2" borderId="7" xfId="0" applyFont="1" applyFill="1" applyBorder="1"/>
    <xf numFmtId="9" fontId="1" fillId="0" borderId="0" xfId="0" applyNumberFormat="1" applyFont="1" applyAlignment="1">
      <alignment horizontal="center"/>
    </xf>
    <xf numFmtId="0" fontId="1" fillId="2" borderId="6" xfId="0" applyFont="1" applyFill="1" applyBorder="1"/>
    <xf numFmtId="0" fontId="1" fillId="0" borderId="0" xfId="0" applyFont="1" applyAlignment="1">
      <alignment horizontal="right"/>
    </xf>
    <xf numFmtId="0" fontId="1" fillId="2" borderId="8" xfId="0" applyFont="1" applyFill="1" applyBorder="1"/>
    <xf numFmtId="0" fontId="1" fillId="0" borderId="0" xfId="0" applyFont="1" applyFill="1" applyBorder="1"/>
    <xf numFmtId="10" fontId="1" fillId="0" borderId="0" xfId="0" applyNumberFormat="1" applyFont="1" applyFill="1" applyBorder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0" fillId="2" borderId="4" xfId="0" applyFill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1" xfId="0" applyFont="1" applyFill="1" applyBorder="1" applyAlignment="1">
      <alignment horizontal="right"/>
    </xf>
    <xf numFmtId="0" fontId="1" fillId="0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0" fontId="0" fillId="3" borderId="15" xfId="0" applyFill="1" applyBorder="1" applyAlignment="1">
      <alignment horizontal="left"/>
    </xf>
    <xf numFmtId="0" fontId="0" fillId="3" borderId="17" xfId="0" applyFill="1" applyBorder="1"/>
    <xf numFmtId="10" fontId="0" fillId="3" borderId="16" xfId="0" applyNumberFormat="1" applyFill="1" applyBorder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18" xfId="0" applyFont="1" applyBorder="1" applyAlignment="1">
      <alignment horizontal="left"/>
    </xf>
    <xf numFmtId="0" fontId="1" fillId="0" borderId="19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10" fontId="1" fillId="0" borderId="10" xfId="0" applyNumberFormat="1" applyFont="1" applyBorder="1" applyAlignment="1">
      <alignment horizontal="center"/>
    </xf>
    <xf numFmtId="4" fontId="1" fillId="0" borderId="10" xfId="0" applyNumberFormat="1" applyFont="1" applyBorder="1" applyAlignment="1">
      <alignment horizontal="center"/>
    </xf>
    <xf numFmtId="0" fontId="1" fillId="0" borderId="3" xfId="0" applyFont="1" applyBorder="1" applyAlignment="1">
      <alignment horizontal="left"/>
    </xf>
    <xf numFmtId="4" fontId="1" fillId="0" borderId="1" xfId="0" applyNumberFormat="1" applyFont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9" fontId="1" fillId="4" borderId="4" xfId="0" applyNumberFormat="1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4" xfId="0" applyFill="1" applyBorder="1"/>
    <xf numFmtId="0" fontId="0" fillId="6" borderId="4" xfId="0" applyFill="1" applyBorder="1"/>
    <xf numFmtId="0" fontId="0" fillId="0" borderId="4" xfId="0" applyBorder="1" applyAlignment="1">
      <alignment horizontal="right"/>
    </xf>
    <xf numFmtId="0" fontId="0" fillId="0" borderId="0" xfId="0" applyFill="1" applyBorder="1"/>
    <xf numFmtId="164" fontId="1" fillId="0" borderId="0" xfId="0" applyNumberFormat="1" applyFont="1" applyAlignment="1">
      <alignment horizontal="center"/>
    </xf>
    <xf numFmtId="9" fontId="0" fillId="0" borderId="0" xfId="0" applyNumberFormat="1" applyBorder="1"/>
    <xf numFmtId="0" fontId="0" fillId="0" borderId="0" xfId="0" applyFill="1"/>
    <xf numFmtId="0" fontId="1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10" fontId="0" fillId="0" borderId="0" xfId="0" applyNumberFormat="1" applyBorder="1"/>
    <xf numFmtId="0" fontId="0" fillId="6" borderId="5" xfId="0" applyFill="1" applyBorder="1"/>
    <xf numFmtId="1" fontId="0" fillId="0" borderId="0" xfId="0" applyNumberFormat="1" applyBorder="1"/>
    <xf numFmtId="0" fontId="2" fillId="0" borderId="0" xfId="0" applyFont="1" applyBorder="1"/>
    <xf numFmtId="0" fontId="2" fillId="0" borderId="4" xfId="0" applyFont="1" applyFill="1" applyBorder="1" applyAlignment="1">
      <alignment horizontal="center"/>
    </xf>
    <xf numFmtId="0" fontId="0" fillId="0" borderId="0" xfId="0" applyFont="1" applyBorder="1"/>
    <xf numFmtId="0" fontId="2" fillId="0" borderId="0" xfId="0" applyFont="1" applyFill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1" fontId="1" fillId="8" borderId="4" xfId="0" applyNumberFormat="1" applyFont="1" applyFill="1" applyBorder="1" applyAlignment="1">
      <alignment horizontal="center"/>
    </xf>
    <xf numFmtId="9" fontId="1" fillId="8" borderId="4" xfId="0" applyNumberFormat="1" applyFont="1" applyFill="1" applyBorder="1" applyAlignment="1">
      <alignment horizontal="center"/>
    </xf>
    <xf numFmtId="9" fontId="1" fillId="2" borderId="21" xfId="0" applyNumberFormat="1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9" fontId="1" fillId="8" borderId="21" xfId="0" applyNumberFormat="1" applyFont="1" applyFill="1" applyBorder="1" applyAlignment="1">
      <alignment horizontal="center"/>
    </xf>
    <xf numFmtId="9" fontId="1" fillId="8" borderId="19" xfId="0" applyNumberFormat="1" applyFont="1" applyFill="1" applyBorder="1" applyAlignment="1">
      <alignment horizontal="center"/>
    </xf>
    <xf numFmtId="9" fontId="1" fillId="8" borderId="3" xfId="0" applyNumberFormat="1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9" fontId="1" fillId="2" borderId="6" xfId="0" applyNumberFormat="1" applyFont="1" applyFill="1" applyBorder="1" applyAlignment="1">
      <alignment horizontal="center"/>
    </xf>
    <xf numFmtId="9" fontId="1" fillId="2" borderId="7" xfId="0" applyNumberFormat="1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9" borderId="10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9" fontId="1" fillId="8" borderId="9" xfId="0" applyNumberFormat="1" applyFont="1" applyFill="1" applyBorder="1" applyAlignment="1">
      <alignment horizontal="center"/>
    </xf>
    <xf numFmtId="9" fontId="1" fillId="9" borderId="6" xfId="0" applyNumberFormat="1" applyFont="1" applyFill="1" applyBorder="1" applyAlignment="1">
      <alignment horizontal="center"/>
    </xf>
    <xf numFmtId="1" fontId="1" fillId="2" borderId="22" xfId="0" applyNumberFormat="1" applyFont="1" applyFill="1" applyBorder="1" applyAlignment="1">
      <alignment horizontal="center"/>
    </xf>
    <xf numFmtId="0" fontId="1" fillId="9" borderId="20" xfId="0" applyFont="1" applyFill="1" applyBorder="1" applyAlignment="1">
      <alignment horizontal="center"/>
    </xf>
    <xf numFmtId="0" fontId="1" fillId="9" borderId="18" xfId="0" applyFont="1" applyFill="1" applyBorder="1" applyAlignment="1">
      <alignment horizontal="center"/>
    </xf>
    <xf numFmtId="9" fontId="1" fillId="9" borderId="9" xfId="0" applyNumberFormat="1" applyFont="1" applyFill="1" applyBorder="1" applyAlignment="1">
      <alignment horizontal="center"/>
    </xf>
    <xf numFmtId="9" fontId="1" fillId="9" borderId="3" xfId="0" applyNumberFormat="1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3" xfId="0" applyBorder="1"/>
    <xf numFmtId="0" fontId="0" fillId="0" borderId="1" xfId="0" applyBorder="1"/>
    <xf numFmtId="0" fontId="1" fillId="0" borderId="1" xfId="0" applyFont="1" applyBorder="1" applyAlignment="1">
      <alignment horizontal="left"/>
    </xf>
    <xf numFmtId="0" fontId="4" fillId="0" borderId="22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" fillId="8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9" fontId="1" fillId="7" borderId="4" xfId="0" applyNumberFormat="1" applyFont="1" applyFill="1" applyBorder="1" applyAlignment="1" applyProtection="1">
      <alignment horizontal="center"/>
      <protection locked="0"/>
    </xf>
    <xf numFmtId="10" fontId="1" fillId="5" borderId="4" xfId="0" applyNumberFormat="1" applyFont="1" applyFill="1" applyBorder="1" applyAlignment="1" applyProtection="1">
      <alignment horizontal="center"/>
    </xf>
    <xf numFmtId="164" fontId="1" fillId="5" borderId="4" xfId="0" applyNumberFormat="1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2" fontId="1" fillId="5" borderId="4" xfId="0" applyNumberFormat="1" applyFont="1" applyFill="1" applyBorder="1" applyAlignment="1" applyProtection="1">
      <alignment horizontal="center"/>
    </xf>
    <xf numFmtId="4" fontId="1" fillId="5" borderId="4" xfId="0" applyNumberFormat="1" applyFont="1" applyFill="1" applyBorder="1" applyAlignment="1" applyProtection="1">
      <alignment horizontal="center"/>
    </xf>
    <xf numFmtId="0" fontId="0" fillId="7" borderId="4" xfId="0" applyFill="1" applyBorder="1" applyAlignment="1" applyProtection="1">
      <alignment horizontal="center"/>
      <protection locked="0"/>
    </xf>
    <xf numFmtId="0" fontId="0" fillId="0" borderId="22" xfId="0" applyBorder="1"/>
    <xf numFmtId="0" fontId="0" fillId="3" borderId="4" xfId="0" applyFill="1" applyBorder="1" applyAlignment="1" applyProtection="1">
      <alignment horizontal="center"/>
      <protection locked="0"/>
    </xf>
    <xf numFmtId="10" fontId="0" fillId="0" borderId="0" xfId="0" applyNumberFormat="1"/>
    <xf numFmtId="4" fontId="1" fillId="10" borderId="4" xfId="0" applyNumberFormat="1" applyFont="1" applyFill="1" applyBorder="1" applyAlignment="1" applyProtection="1">
      <alignment horizontal="center"/>
      <protection locked="0"/>
    </xf>
    <xf numFmtId="4" fontId="1" fillId="10" borderId="21" xfId="0" applyNumberFormat="1" applyFont="1" applyFill="1" applyBorder="1" applyAlignment="1" applyProtection="1">
      <alignment horizontal="center"/>
      <protection locked="0"/>
    </xf>
    <xf numFmtId="4" fontId="1" fillId="10" borderId="1" xfId="0" applyNumberFormat="1" applyFont="1" applyFill="1" applyBorder="1" applyAlignment="1" applyProtection="1">
      <alignment horizontal="center"/>
      <protection locked="0"/>
    </xf>
    <xf numFmtId="4" fontId="1" fillId="0" borderId="0" xfId="0" applyNumberFormat="1" applyFont="1" applyAlignment="1">
      <alignment horizontal="center"/>
    </xf>
    <xf numFmtId="4" fontId="1" fillId="0" borderId="12" xfId="0" applyNumberFormat="1" applyFont="1" applyFill="1" applyBorder="1" applyAlignment="1">
      <alignment horizontal="center"/>
    </xf>
    <xf numFmtId="4" fontId="1" fillId="7" borderId="4" xfId="0" applyNumberFormat="1" applyFont="1" applyFill="1" applyBorder="1" applyProtection="1">
      <protection locked="0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1" fillId="0" borderId="0" xfId="0" applyFont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/>
    <xf numFmtId="0" fontId="0" fillId="0" borderId="2" xfId="0" applyBorder="1"/>
    <xf numFmtId="0" fontId="7" fillId="0" borderId="0" xfId="4" applyAlignment="1">
      <alignment wrapText="1"/>
    </xf>
    <xf numFmtId="0" fontId="8" fillId="0" borderId="0" xfId="4" applyFont="1"/>
    <xf numFmtId="0" fontId="9" fillId="0" borderId="0" xfId="4" applyFont="1"/>
    <xf numFmtId="165" fontId="8" fillId="0" borderId="0" xfId="4" applyNumberFormat="1" applyFont="1"/>
    <xf numFmtId="0" fontId="10" fillId="0" borderId="0" xfId="4" applyFont="1" applyAlignment="1">
      <alignment wrapText="1"/>
    </xf>
    <xf numFmtId="0" fontId="8" fillId="0" borderId="0" xfId="4" applyFont="1" applyFill="1" applyBorder="1"/>
    <xf numFmtId="0" fontId="8" fillId="0" borderId="4" xfId="4" applyFont="1" applyBorder="1" applyAlignment="1">
      <alignment horizontal="center"/>
    </xf>
    <xf numFmtId="0" fontId="11" fillId="0" borderId="0" xfId="4" applyFont="1" applyAlignment="1">
      <alignment wrapText="1"/>
    </xf>
    <xf numFmtId="0" fontId="11" fillId="10" borderId="4" xfId="4" applyFont="1" applyFill="1" applyBorder="1" applyAlignment="1">
      <alignment wrapText="1"/>
    </xf>
    <xf numFmtId="0" fontId="11" fillId="0" borderId="0" xfId="4" applyFont="1" applyFill="1" applyBorder="1" applyAlignment="1">
      <alignment wrapText="1"/>
    </xf>
    <xf numFmtId="0" fontId="9" fillId="0" borderId="7" xfId="4" applyFont="1" applyBorder="1"/>
    <xf numFmtId="1" fontId="8" fillId="14" borderId="4" xfId="4" applyNumberFormat="1" applyFont="1" applyFill="1" applyBorder="1" applyAlignment="1">
      <alignment horizontal="center"/>
    </xf>
    <xf numFmtId="4" fontId="11" fillId="5" borderId="4" xfId="4" applyNumberFormat="1" applyFont="1" applyFill="1" applyBorder="1" applyAlignment="1">
      <alignment horizontal="center" wrapText="1"/>
    </xf>
    <xf numFmtId="0" fontId="3" fillId="0" borderId="20" xfId="0" applyFont="1" applyFill="1" applyBorder="1" applyAlignment="1">
      <alignment horizontal="center"/>
    </xf>
    <xf numFmtId="2" fontId="8" fillId="7" borderId="4" xfId="4" applyNumberFormat="1" applyFont="1" applyFill="1" applyBorder="1"/>
    <xf numFmtId="0" fontId="0" fillId="0" borderId="7" xfId="0" applyBorder="1"/>
    <xf numFmtId="0" fontId="8" fillId="0" borderId="22" xfId="4" applyFont="1" applyBorder="1"/>
    <xf numFmtId="0" fontId="8" fillId="0" borderId="7" xfId="4" applyFont="1" applyFill="1" applyBorder="1"/>
    <xf numFmtId="0" fontId="1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Border="1" applyAlignment="1">
      <alignment horizontal="center"/>
    </xf>
    <xf numFmtId="0" fontId="0" fillId="0" borderId="0" xfId="0" applyNumberFormat="1"/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NumberFormat="1" applyFill="1" applyBorder="1"/>
    <xf numFmtId="4" fontId="8" fillId="0" borderId="0" xfId="4" applyNumberFormat="1" applyFont="1" applyFill="1" applyBorder="1"/>
    <xf numFmtId="4" fontId="8" fillId="5" borderId="4" xfId="4" applyNumberFormat="1" applyFont="1" applyFill="1" applyBorder="1"/>
    <xf numFmtId="2" fontId="8" fillId="5" borderId="4" xfId="4" applyNumberFormat="1" applyFont="1" applyFill="1" applyBorder="1"/>
    <xf numFmtId="4" fontId="0" fillId="0" borderId="0" xfId="0" applyNumberFormat="1"/>
    <xf numFmtId="166" fontId="0" fillId="7" borderId="4" xfId="0" applyNumberFormat="1" applyFill="1" applyBorder="1"/>
    <xf numFmtId="9" fontId="1" fillId="0" borderId="0" xfId="0" applyNumberFormat="1" applyFont="1" applyFill="1" applyBorder="1" applyAlignment="1">
      <alignment horizontal="center"/>
    </xf>
    <xf numFmtId="10" fontId="1" fillId="0" borderId="9" xfId="0" applyNumberFormat="1" applyFont="1" applyFill="1" applyBorder="1" applyAlignment="1">
      <alignment horizontal="center"/>
    </xf>
    <xf numFmtId="0" fontId="2" fillId="0" borderId="1" xfId="0" applyFont="1" applyBorder="1"/>
    <xf numFmtId="0" fontId="0" fillId="0" borderId="0" xfId="0" applyFill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1" fillId="8" borderId="4" xfId="0" applyNumberFormat="1" applyFont="1" applyFill="1" applyBorder="1" applyAlignment="1">
      <alignment horizontal="center"/>
    </xf>
    <xf numFmtId="164" fontId="1" fillId="0" borderId="8" xfId="0" applyNumberFormat="1" applyFont="1" applyFill="1" applyBorder="1" applyAlignment="1">
      <alignment horizontal="center"/>
    </xf>
    <xf numFmtId="164" fontId="1" fillId="0" borderId="7" xfId="0" applyNumberFormat="1" applyFont="1" applyFill="1" applyBorder="1" applyAlignment="1">
      <alignment horizontal="center"/>
    </xf>
    <xf numFmtId="164" fontId="1" fillId="8" borderId="5" xfId="0" applyNumberFormat="1" applyFont="1" applyFill="1" applyBorder="1" applyAlignment="1">
      <alignment horizontal="center"/>
    </xf>
    <xf numFmtId="9" fontId="8" fillId="5" borderId="4" xfId="4" applyNumberFormat="1" applyFont="1" applyFill="1" applyBorder="1" applyAlignment="1">
      <alignment horizontal="right"/>
    </xf>
    <xf numFmtId="2" fontId="11" fillId="10" borderId="4" xfId="4" applyNumberFormat="1" applyFont="1" applyFill="1" applyBorder="1" applyAlignment="1">
      <alignment wrapText="1"/>
    </xf>
    <xf numFmtId="2" fontId="0" fillId="0" borderId="4" xfId="0" applyNumberFormat="1" applyBorder="1" applyAlignment="1">
      <alignment horizontal="center"/>
    </xf>
    <xf numFmtId="0" fontId="0" fillId="0" borderId="18" xfId="0" applyBorder="1"/>
    <xf numFmtId="0" fontId="0" fillId="0" borderId="8" xfId="0" applyBorder="1"/>
    <xf numFmtId="0" fontId="0" fillId="0" borderId="19" xfId="0" applyBorder="1"/>
    <xf numFmtId="0" fontId="0" fillId="0" borderId="9" xfId="0" applyBorder="1"/>
    <xf numFmtId="0" fontId="0" fillId="0" borderId="10" xfId="0" applyBorder="1"/>
    <xf numFmtId="167" fontId="0" fillId="0" borderId="0" xfId="0" applyNumberFormat="1" applyBorder="1"/>
    <xf numFmtId="0" fontId="0" fillId="0" borderId="0" xfId="0" applyAlignment="1">
      <alignment horizontal="center"/>
    </xf>
    <xf numFmtId="0" fontId="0" fillId="0" borderId="9" xfId="0" applyNumberFormat="1" applyBorder="1"/>
    <xf numFmtId="0" fontId="0" fillId="0" borderId="9" xfId="0" applyNumberFormat="1" applyFill="1" applyBorder="1"/>
    <xf numFmtId="0" fontId="8" fillId="0" borderId="9" xfId="4" applyFont="1" applyBorder="1"/>
    <xf numFmtId="0" fontId="8" fillId="0" borderId="3" xfId="4" applyFont="1" applyBorder="1"/>
    <xf numFmtId="0" fontId="0" fillId="5" borderId="4" xfId="0" applyFill="1" applyBorder="1"/>
    <xf numFmtId="9" fontId="0" fillId="5" borderId="4" xfId="0" applyNumberFormat="1" applyFill="1" applyBorder="1"/>
    <xf numFmtId="166" fontId="0" fillId="5" borderId="4" xfId="0" applyNumberFormat="1" applyFill="1" applyBorder="1"/>
    <xf numFmtId="0" fontId="0" fillId="0" borderId="0" xfId="0" applyBorder="1" applyAlignment="1">
      <alignment horizontal="right"/>
    </xf>
    <xf numFmtId="168" fontId="8" fillId="5" borderId="4" xfId="4" applyNumberFormat="1" applyFont="1" applyFill="1" applyBorder="1"/>
    <xf numFmtId="0" fontId="2" fillId="0" borderId="4" xfId="0" applyFon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21" xfId="0" applyBorder="1"/>
    <xf numFmtId="0" fontId="8" fillId="0" borderId="19" xfId="4" applyFont="1" applyFill="1" applyBorder="1"/>
    <xf numFmtId="0" fontId="2" fillId="0" borderId="8" xfId="0" applyFont="1" applyBorder="1"/>
    <xf numFmtId="0" fontId="2" fillId="0" borderId="19" xfId="0" applyFont="1" applyBorder="1"/>
    <xf numFmtId="0" fontId="2" fillId="0" borderId="22" xfId="0" applyFont="1" applyBorder="1"/>
    <xf numFmtId="0" fontId="0" fillId="0" borderId="5" xfId="0" applyBorder="1" applyAlignment="1">
      <alignment horizontal="right"/>
    </xf>
    <xf numFmtId="0" fontId="0" fillId="0" borderId="3" xfId="0" applyFill="1" applyBorder="1" applyAlignment="1" applyProtection="1">
      <alignment horizontal="right"/>
      <protection locked="0"/>
    </xf>
    <xf numFmtId="9" fontId="0" fillId="0" borderId="4" xfId="0" applyNumberFormat="1" applyFill="1" applyBorder="1" applyAlignment="1" applyProtection="1">
      <alignment horizontal="center"/>
      <protection locked="0"/>
    </xf>
    <xf numFmtId="9" fontId="1" fillId="5" borderId="4" xfId="0" applyNumberFormat="1" applyFont="1" applyFill="1" applyBorder="1" applyAlignment="1" applyProtection="1">
      <alignment horizontal="center"/>
    </xf>
    <xf numFmtId="0" fontId="2" fillId="0" borderId="10" xfId="0" applyFont="1" applyBorder="1"/>
    <xf numFmtId="0" fontId="2" fillId="8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12" fillId="0" borderId="0" xfId="0" applyFont="1" applyFill="1" applyBorder="1" applyAlignment="1" applyProtection="1">
      <alignment horizontal="center"/>
      <protection locked="0"/>
    </xf>
    <xf numFmtId="0" fontId="0" fillId="7" borderId="18" xfId="0" applyFill="1" applyBorder="1" applyAlignment="1" applyProtection="1">
      <alignment horizontal="center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7" borderId="8" xfId="0" applyFill="1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9" fillId="0" borderId="3" xfId="4" applyFont="1" applyBorder="1"/>
    <xf numFmtId="9" fontId="1" fillId="0" borderId="8" xfId="0" applyNumberFormat="1" applyFont="1" applyFill="1" applyBorder="1" applyAlignment="1">
      <alignment horizontal="center"/>
    </xf>
    <xf numFmtId="1" fontId="1" fillId="0" borderId="8" xfId="0" applyNumberFormat="1" applyFont="1" applyFill="1" applyBorder="1" applyAlignment="1">
      <alignment horizontal="center"/>
    </xf>
    <xf numFmtId="10" fontId="1" fillId="0" borderId="8" xfId="0" applyNumberFormat="1" applyFont="1" applyFill="1" applyBorder="1" applyAlignment="1">
      <alignment horizontal="center"/>
    </xf>
    <xf numFmtId="9" fontId="1" fillId="0" borderId="18" xfId="0" applyNumberFormat="1" applyFont="1" applyFill="1" applyBorder="1" applyAlignment="1">
      <alignment horizontal="center"/>
    </xf>
    <xf numFmtId="10" fontId="1" fillId="0" borderId="7" xfId="0" applyNumberFormat="1" applyFont="1" applyFill="1" applyBorder="1" applyAlignment="1">
      <alignment horizontal="center"/>
    </xf>
    <xf numFmtId="9" fontId="1" fillId="0" borderId="3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8" borderId="18" xfId="0" applyNumberFormat="1" applyFont="1" applyFill="1" applyBorder="1" applyAlignment="1">
      <alignment horizontal="center"/>
    </xf>
    <xf numFmtId="169" fontId="1" fillId="5" borderId="22" xfId="0" applyNumberFormat="1" applyFont="1" applyFill="1" applyBorder="1" applyAlignment="1" applyProtection="1">
      <alignment horizontal="center"/>
    </xf>
    <xf numFmtId="2" fontId="0" fillId="0" borderId="0" xfId="0" applyNumberFormat="1"/>
    <xf numFmtId="0" fontId="0" fillId="16" borderId="4" xfId="0" applyFill="1" applyBorder="1" applyAlignment="1" applyProtection="1">
      <alignment horizontal="center"/>
      <protection locked="0"/>
    </xf>
    <xf numFmtId="2" fontId="0" fillId="16" borderId="4" xfId="0" applyNumberFormat="1" applyFill="1" applyBorder="1" applyAlignment="1" applyProtection="1">
      <alignment horizontal="center"/>
      <protection locked="0"/>
    </xf>
    <xf numFmtId="9" fontId="0" fillId="16" borderId="4" xfId="0" applyNumberFormat="1" applyFill="1" applyBorder="1" applyAlignment="1" applyProtection="1">
      <alignment horizontal="center"/>
      <protection locked="0"/>
    </xf>
    <xf numFmtId="4" fontId="0" fillId="16" borderId="21" xfId="0" applyNumberFormat="1" applyFill="1" applyBorder="1" applyAlignment="1" applyProtection="1">
      <alignment horizontal="center"/>
      <protection locked="0"/>
    </xf>
    <xf numFmtId="4" fontId="0" fillId="16" borderId="5" xfId="0" applyNumberFormat="1" applyFill="1" applyBorder="1" applyAlignment="1" applyProtection="1">
      <alignment horizontal="center"/>
      <protection locked="0"/>
    </xf>
    <xf numFmtId="0" fontId="0" fillId="16" borderId="21" xfId="0" applyFill="1" applyBorder="1" applyAlignment="1" applyProtection="1">
      <alignment horizontal="center"/>
      <protection locked="0"/>
    </xf>
    <xf numFmtId="9" fontId="0" fillId="9" borderId="4" xfId="0" applyNumberFormat="1" applyFill="1" applyBorder="1" applyAlignment="1">
      <alignment horizontal="center"/>
    </xf>
    <xf numFmtId="9" fontId="1" fillId="8" borderId="4" xfId="0" applyNumberFormat="1" applyFont="1" applyFill="1" applyBorder="1" applyAlignment="1" applyProtection="1">
      <alignment horizontal="center"/>
    </xf>
    <xf numFmtId="9" fontId="0" fillId="0" borderId="0" xfId="0" applyNumberFormat="1" applyAlignment="1">
      <alignment horizontal="center"/>
    </xf>
    <xf numFmtId="4" fontId="0" fillId="0" borderId="4" xfId="0" applyNumberFormat="1" applyBorder="1" applyAlignment="1">
      <alignment horizontal="right"/>
    </xf>
    <xf numFmtId="168" fontId="0" fillId="0" borderId="0" xfId="0" applyNumberFormat="1" applyBorder="1"/>
    <xf numFmtId="2" fontId="0" fillId="0" borderId="0" xfId="0" applyNumberFormat="1" applyBorder="1" applyAlignment="1"/>
    <xf numFmtId="4" fontId="0" fillId="0" borderId="0" xfId="0" applyNumberFormat="1" applyBorder="1"/>
    <xf numFmtId="0" fontId="0" fillId="0" borderId="0" xfId="0" applyFill="1" applyBorder="1" applyAlignment="1"/>
    <xf numFmtId="0" fontId="0" fillId="0" borderId="0" xfId="0" applyBorder="1" applyAlignment="1"/>
    <xf numFmtId="0" fontId="0" fillId="0" borderId="9" xfId="0" applyBorder="1" applyAlignment="1"/>
    <xf numFmtId="0" fontId="0" fillId="11" borderId="5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/>
    <xf numFmtId="0" fontId="0" fillId="0" borderId="0" xfId="0" applyAlignment="1"/>
    <xf numFmtId="4" fontId="0" fillId="5" borderId="5" xfId="0" applyNumberFormat="1" applyFill="1" applyBorder="1" applyAlignment="1">
      <alignment horizontal="center"/>
    </xf>
    <xf numFmtId="0" fontId="0" fillId="5" borderId="21" xfId="0" applyNumberFormat="1" applyFill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5" fillId="0" borderId="10" xfId="0" applyFont="1" applyBorder="1" applyAlignment="1">
      <alignment horizontal="right" vertical="center" textRotation="90"/>
    </xf>
    <xf numFmtId="0" fontId="3" fillId="0" borderId="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2" fillId="0" borderId="0" xfId="0" applyFont="1" applyAlignment="1"/>
    <xf numFmtId="0" fontId="2" fillId="0" borderId="10" xfId="0" applyFont="1" applyBorder="1" applyAlignment="1"/>
    <xf numFmtId="0" fontId="12" fillId="15" borderId="5" xfId="0" applyNumberFormat="1" applyFont="1" applyFill="1" applyBorder="1" applyAlignment="1">
      <alignment horizontal="center"/>
    </xf>
    <xf numFmtId="0" fontId="12" fillId="15" borderId="2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2" fillId="12" borderId="5" xfId="0" applyNumberFormat="1" applyFont="1" applyFill="1" applyBorder="1" applyAlignment="1">
      <alignment horizontal="center"/>
    </xf>
    <xf numFmtId="0" fontId="12" fillId="12" borderId="21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/>
    <xf numFmtId="0" fontId="13" fillId="0" borderId="5" xfId="0" applyNumberFormat="1" applyFont="1" applyBorder="1" applyAlignment="1">
      <alignment horizontal="center"/>
    </xf>
    <xf numFmtId="0" fontId="2" fillId="0" borderId="21" xfId="0" applyNumberFormat="1" applyFont="1" applyBorder="1" applyAlignment="1">
      <alignment horizontal="center"/>
    </xf>
    <xf numFmtId="0" fontId="2" fillId="0" borderId="8" xfId="0" applyFont="1" applyBorder="1" applyAlignment="1"/>
    <xf numFmtId="0" fontId="0" fillId="0" borderId="8" xfId="0" applyBorder="1" applyAlignme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/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" fillId="0" borderId="8" xfId="0" applyNumberFormat="1" applyFont="1" applyBorder="1" applyAlignment="1"/>
    <xf numFmtId="0" fontId="0" fillId="0" borderId="8" xfId="0" applyNumberFormat="1" applyBorder="1" applyAlignment="1"/>
    <xf numFmtId="0" fontId="2" fillId="0" borderId="0" xfId="0" applyFont="1" applyAlignment="1">
      <alignment horizontal="center"/>
    </xf>
  </cellXfs>
  <cellStyles count="6">
    <cellStyle name="Currency 2" xfId="5"/>
    <cellStyle name="Normal" xfId="0" builtinId="0"/>
    <cellStyle name="Normal 2" xfId="2"/>
    <cellStyle name="Normal 3" xfId="3"/>
    <cellStyle name="Normal 4" xfId="4"/>
    <cellStyle name="Normal 5" xfId="1"/>
  </cellStyles>
  <dxfs count="10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7"/>
  <sheetViews>
    <sheetView showGridLines="0" workbookViewId="0">
      <selection activeCell="X32" sqref="X32"/>
    </sheetView>
  </sheetViews>
  <sheetFormatPr defaultRowHeight="15" x14ac:dyDescent="0.25"/>
  <cols>
    <col min="1" max="1" width="15.7109375" customWidth="1"/>
    <col min="2" max="2" width="9.7109375" customWidth="1"/>
    <col min="3" max="3" width="8.42578125" customWidth="1"/>
    <col min="4" max="4" width="8.28515625" customWidth="1"/>
    <col min="5" max="5" width="8.85546875" customWidth="1"/>
    <col min="6" max="6" width="8.5703125" customWidth="1"/>
    <col min="7" max="7" width="9" customWidth="1"/>
    <col min="8" max="8" width="8.42578125" customWidth="1"/>
    <col min="9" max="9" width="10.28515625" customWidth="1"/>
    <col min="10" max="10" width="9.140625" customWidth="1"/>
    <col min="11" max="11" width="7.85546875" customWidth="1"/>
    <col min="12" max="12" width="9" customWidth="1"/>
    <col min="13" max="13" width="8.85546875" customWidth="1"/>
    <col min="14" max="14" width="9.42578125" customWidth="1"/>
    <col min="15" max="15" width="11.28515625" customWidth="1"/>
    <col min="16" max="16" width="11" customWidth="1"/>
    <col min="17" max="17" width="15.85546875" customWidth="1"/>
    <col min="18" max="18" width="4.7109375" customWidth="1"/>
    <col min="19" max="19" width="17.28515625" customWidth="1"/>
    <col min="20" max="20" width="9" customWidth="1"/>
    <col min="21" max="21" width="11.5703125" customWidth="1"/>
    <col min="22" max="22" width="11.85546875" customWidth="1"/>
    <col min="23" max="23" width="12.85546875" customWidth="1"/>
    <col min="24" max="24" width="6.42578125" customWidth="1"/>
    <col min="25" max="25" width="12.5703125" customWidth="1"/>
    <col min="26" max="26" width="9" customWidth="1"/>
    <col min="28" max="29" width="9.140625" customWidth="1"/>
  </cols>
  <sheetData>
    <row r="1" spans="1:27" x14ac:dyDescent="0.25">
      <c r="B1" s="53"/>
    </row>
    <row r="2" spans="1:27" x14ac:dyDescent="0.25">
      <c r="A2" s="60" t="s">
        <v>70</v>
      </c>
      <c r="B2" s="118">
        <v>100</v>
      </c>
      <c r="I2" s="297" t="s">
        <v>71</v>
      </c>
      <c r="J2" s="298"/>
      <c r="K2" s="298"/>
      <c r="L2" s="298"/>
      <c r="M2" s="298"/>
      <c r="N2" s="298"/>
      <c r="O2" s="298"/>
      <c r="P2" s="298"/>
      <c r="Q2" s="298"/>
      <c r="R2" s="299"/>
      <c r="Y2" s="300" t="s">
        <v>157</v>
      </c>
      <c r="Z2" s="300"/>
      <c r="AA2" s="300"/>
    </row>
    <row r="3" spans="1:27" x14ac:dyDescent="0.25"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</row>
    <row r="4" spans="1:27" x14ac:dyDescent="0.25">
      <c r="A4" s="105"/>
      <c r="B4" s="75" t="s">
        <v>51</v>
      </c>
      <c r="C4" s="281">
        <v>3000</v>
      </c>
      <c r="D4" s="75" t="s">
        <v>57</v>
      </c>
      <c r="E4" s="282">
        <v>2</v>
      </c>
      <c r="F4" s="75" t="s">
        <v>54</v>
      </c>
      <c r="G4" s="283">
        <v>0.42</v>
      </c>
      <c r="H4" s="75" t="s">
        <v>60</v>
      </c>
      <c r="I4" s="283">
        <v>4.2</v>
      </c>
      <c r="J4" s="75" t="s">
        <v>75</v>
      </c>
      <c r="K4" s="281">
        <v>600</v>
      </c>
      <c r="L4" s="75" t="s">
        <v>77</v>
      </c>
      <c r="M4" s="283">
        <v>0.91</v>
      </c>
      <c r="N4" s="104"/>
      <c r="O4" s="150"/>
      <c r="P4" s="150"/>
      <c r="Q4" s="150"/>
      <c r="R4" s="105"/>
      <c r="S4" s="75" t="s">
        <v>25</v>
      </c>
      <c r="T4" s="284">
        <v>32000</v>
      </c>
      <c r="U4" s="75" t="s">
        <v>37</v>
      </c>
      <c r="V4" s="285">
        <v>500000</v>
      </c>
      <c r="W4" s="75" t="s">
        <v>0</v>
      </c>
      <c r="X4" s="286">
        <v>3500</v>
      </c>
      <c r="Y4" s="104"/>
    </row>
    <row r="6" spans="1:27" x14ac:dyDescent="0.25">
      <c r="S6" s="166" t="s">
        <v>125</v>
      </c>
      <c r="T6" s="120" t="s">
        <v>84</v>
      </c>
    </row>
    <row r="7" spans="1:27" x14ac:dyDescent="0.25">
      <c r="A7" s="2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X7" s="136"/>
    </row>
    <row r="8" spans="1:27" x14ac:dyDescent="0.25">
      <c r="A8" s="106"/>
      <c r="B8" s="102" t="s">
        <v>0</v>
      </c>
      <c r="C8" s="102" t="s">
        <v>131</v>
      </c>
      <c r="D8" s="102" t="s">
        <v>52</v>
      </c>
      <c r="E8" s="102" t="s">
        <v>53</v>
      </c>
      <c r="F8" s="102" t="s">
        <v>72</v>
      </c>
      <c r="G8" s="102" t="s">
        <v>51</v>
      </c>
      <c r="H8" s="102" t="s">
        <v>73</v>
      </c>
      <c r="I8" s="102" t="s">
        <v>54</v>
      </c>
      <c r="J8" s="102" t="s">
        <v>60</v>
      </c>
      <c r="K8" s="102" t="s">
        <v>5</v>
      </c>
      <c r="L8" s="102" t="s">
        <v>62</v>
      </c>
      <c r="M8" s="102" t="s">
        <v>12</v>
      </c>
      <c r="N8" s="148" t="s">
        <v>17</v>
      </c>
      <c r="O8" s="148" t="s">
        <v>124</v>
      </c>
      <c r="P8" s="154" t="s">
        <v>152</v>
      </c>
      <c r="Q8" s="102" t="s">
        <v>20</v>
      </c>
      <c r="R8" s="5"/>
      <c r="S8" s="266" t="s">
        <v>127</v>
      </c>
      <c r="V8" s="311" t="s">
        <v>78</v>
      </c>
      <c r="W8" s="311"/>
      <c r="X8" s="136"/>
    </row>
    <row r="9" spans="1:27" x14ac:dyDescent="0.25">
      <c r="A9" s="24" t="s">
        <v>49</v>
      </c>
      <c r="B9" s="91"/>
      <c r="C9" s="86">
        <f>Gear!$E$54</f>
        <v>0</v>
      </c>
      <c r="D9" s="93"/>
      <c r="E9" s="91"/>
      <c r="F9" s="87">
        <f>Gear!$F$54</f>
        <v>0</v>
      </c>
      <c r="G9" s="6">
        <f>Gear!$G$54</f>
        <v>0</v>
      </c>
      <c r="H9" s="81">
        <f>Gear!$H$54</f>
        <v>0</v>
      </c>
      <c r="I9" s="98"/>
      <c r="J9" s="83">
        <f>Gear!$I$54</f>
        <v>0.96</v>
      </c>
      <c r="K9" s="42">
        <f>Gear!$K$54</f>
        <v>0</v>
      </c>
      <c r="L9" s="174">
        <f>Gear!$J$54</f>
        <v>0.03</v>
      </c>
      <c r="M9" s="100"/>
      <c r="N9" s="3"/>
      <c r="O9" s="7">
        <f>Gear!$L$54</f>
        <v>0</v>
      </c>
      <c r="P9" s="153"/>
      <c r="Q9" s="122"/>
      <c r="R9" s="5"/>
      <c r="S9" s="136" t="s">
        <v>100</v>
      </c>
      <c r="T9" s="160">
        <f>IF(T11&gt;0,(T11*T10),T11)+IF(T12&gt;0,T12+T10,T10)+IF(T23&gt;0,T23,0)</f>
        <v>1.4</v>
      </c>
      <c r="V9" s="34" t="s">
        <v>4</v>
      </c>
      <c r="W9" s="114">
        <f>$I$24</f>
        <v>0.56500000000000006</v>
      </c>
      <c r="X9" s="136"/>
    </row>
    <row r="10" spans="1:27" x14ac:dyDescent="0.25">
      <c r="A10" s="24" t="s">
        <v>50</v>
      </c>
      <c r="B10" s="92"/>
      <c r="C10" s="86">
        <f>IF(T6="n",0,Gear!$E$63)</f>
        <v>0</v>
      </c>
      <c r="D10" s="94"/>
      <c r="E10" s="92"/>
      <c r="F10" s="87">
        <f>IF(T6="n",0,Gear!$F$63)</f>
        <v>0</v>
      </c>
      <c r="G10" s="6">
        <f>IF(T6="n",0,Gear!$G$63)</f>
        <v>0</v>
      </c>
      <c r="H10" s="81">
        <f>IF(T6="n",0,Gear!$H$63)</f>
        <v>0</v>
      </c>
      <c r="I10" s="98"/>
      <c r="J10" s="84">
        <f>IF(T6="n",0,Gear!$I$63)</f>
        <v>0</v>
      </c>
      <c r="K10" s="97">
        <f>IF(T6="n",0,Gear!$K$63)</f>
        <v>0</v>
      </c>
      <c r="L10" s="278">
        <f>IF(T6="n",0,Gear!$J$63)</f>
        <v>0</v>
      </c>
      <c r="M10" s="101"/>
      <c r="N10" s="164"/>
      <c r="O10" s="7">
        <f>IF(T6="n",0,Gear!$L$63)</f>
        <v>0</v>
      </c>
      <c r="P10" s="153"/>
      <c r="Q10" s="122"/>
      <c r="R10" s="4"/>
      <c r="S10" t="s">
        <v>119</v>
      </c>
      <c r="T10" s="189">
        <f>Gear!$C$53</f>
        <v>1.4</v>
      </c>
      <c r="V10" s="36" t="s">
        <v>26</v>
      </c>
      <c r="W10" s="279">
        <f>IF(T20&gt;0,((T9+T20)/2)*(1+(N23+0.15)),((T9*(1+(N23)))))</f>
        <v>2.1139999999999999</v>
      </c>
      <c r="X10" s="138"/>
    </row>
    <row r="11" spans="1:27" x14ac:dyDescent="0.25">
      <c r="A11" s="24" t="s">
        <v>151</v>
      </c>
      <c r="B11" s="76">
        <f>IF(T6="y",0,Gear!$E$79)</f>
        <v>982</v>
      </c>
      <c r="C11" s="86">
        <f>IF(T6="y",0,Gear!$F$79)</f>
        <v>0</v>
      </c>
      <c r="D11" s="76">
        <f>IF(T6="y",0,Gear!$G$79)</f>
        <v>32</v>
      </c>
      <c r="E11" s="273">
        <f>IF(T6="y",0,Gear!$H$79)</f>
        <v>50</v>
      </c>
      <c r="F11" s="87">
        <f>IF(T6="y",0,Gear!$I$79)</f>
        <v>270</v>
      </c>
      <c r="G11" s="6">
        <f>IF(T6="y",0,Gear!$J$79)</f>
        <v>243</v>
      </c>
      <c r="H11" s="81">
        <f>IF(T6="y",0,Gear!$K$79)</f>
        <v>0</v>
      </c>
      <c r="I11" s="169">
        <f>IF(T6="y",0,Gear!$L$79)</f>
        <v>0.09</v>
      </c>
      <c r="J11" s="270"/>
      <c r="K11" s="268"/>
      <c r="L11" s="269"/>
      <c r="M11" s="196">
        <f>IF(T6="y",0,Gear!$M$79)</f>
        <v>0</v>
      </c>
      <c r="N11" s="272"/>
      <c r="O11" s="267"/>
      <c r="P11" s="288">
        <f>IF(T6="y",0,Gear!$N$79)</f>
        <v>0.1</v>
      </c>
      <c r="Q11" s="122"/>
      <c r="R11" s="4"/>
      <c r="S11" t="s">
        <v>118</v>
      </c>
      <c r="T11" s="190">
        <f>Gear!$C$54</f>
        <v>0</v>
      </c>
      <c r="V11" s="74" t="s">
        <v>63</v>
      </c>
      <c r="W11" s="210">
        <f>$J$24</f>
        <v>3.11</v>
      </c>
      <c r="X11" s="138"/>
    </row>
    <row r="12" spans="1:27" x14ac:dyDescent="0.25">
      <c r="A12" s="24" t="s">
        <v>6</v>
      </c>
      <c r="B12" s="77">
        <f>Gear!$E$4</f>
        <v>403</v>
      </c>
      <c r="C12" s="6">
        <f>Gear!$F$4</f>
        <v>0</v>
      </c>
      <c r="D12" s="77">
        <f>Gear!$G$4</f>
        <v>50</v>
      </c>
      <c r="E12" s="9">
        <f>Gear!$H$4</f>
        <v>0</v>
      </c>
      <c r="F12" s="76">
        <f>Gear!$I$4</f>
        <v>283</v>
      </c>
      <c r="G12" s="6">
        <f>Gear!$J$4</f>
        <v>0</v>
      </c>
      <c r="H12" s="81">
        <f>Gear!$K$4</f>
        <v>145</v>
      </c>
      <c r="I12" s="93"/>
      <c r="J12" s="90"/>
      <c r="K12" s="90"/>
      <c r="L12" s="91"/>
      <c r="M12" s="89">
        <f>Gear!$O$4</f>
        <v>0</v>
      </c>
      <c r="N12" s="171">
        <f>Gear!$N$4</f>
        <v>0.09</v>
      </c>
      <c r="O12" s="271"/>
      <c r="P12" s="91"/>
      <c r="Q12" s="123"/>
      <c r="R12" s="4"/>
      <c r="S12" s="155" t="s">
        <v>121</v>
      </c>
      <c r="T12" s="191">
        <f>Gear!$C$55</f>
        <v>0</v>
      </c>
      <c r="V12" s="134" t="s">
        <v>113</v>
      </c>
      <c r="W12" s="147">
        <f>IF(T6="y",B127,B140)</f>
        <v>208800.69010386898</v>
      </c>
      <c r="X12" s="138"/>
    </row>
    <row r="13" spans="1:27" x14ac:dyDescent="0.25">
      <c r="A13" s="24" t="s">
        <v>11</v>
      </c>
      <c r="B13" s="76">
        <f>Gear!$E$9</f>
        <v>333</v>
      </c>
      <c r="C13" s="6">
        <f>Gear!$F$9</f>
        <v>0</v>
      </c>
      <c r="D13" s="76">
        <f>Gear!$G$9</f>
        <v>57</v>
      </c>
      <c r="E13" s="6">
        <f>Gear!$H$9</f>
        <v>77</v>
      </c>
      <c r="F13" s="76">
        <f>Gear!$I$9</f>
        <v>67</v>
      </c>
      <c r="G13" s="6">
        <f>Gear!$J$9</f>
        <v>289</v>
      </c>
      <c r="H13" s="81">
        <f>Gear!$K$9</f>
        <v>56</v>
      </c>
      <c r="I13" s="93"/>
      <c r="J13" s="90"/>
      <c r="K13" s="90"/>
      <c r="L13" s="91"/>
      <c r="M13" s="7">
        <f>Gear!$O$9</f>
        <v>0.11</v>
      </c>
      <c r="N13" s="172"/>
      <c r="O13" s="7">
        <f>Gear!$P$9</f>
        <v>0</v>
      </c>
      <c r="P13" s="91"/>
      <c r="Q13" s="123"/>
      <c r="R13" s="4"/>
      <c r="S13" s="158" t="s">
        <v>120</v>
      </c>
      <c r="T13" s="189">
        <f>Gear!$C$57+IF(I32="y",(J32*(1+T34)),0)</f>
        <v>722.8</v>
      </c>
      <c r="U13" s="53"/>
      <c r="X13" s="138"/>
      <c r="Y13" s="121"/>
    </row>
    <row r="14" spans="1:27" x14ac:dyDescent="0.25">
      <c r="A14" s="24" t="s">
        <v>15</v>
      </c>
      <c r="B14" s="77">
        <f>Gear!$E$14</f>
        <v>600</v>
      </c>
      <c r="C14" s="9">
        <f>Gear!$F$14</f>
        <v>0</v>
      </c>
      <c r="D14" s="77">
        <f>Gear!$G$14</f>
        <v>57</v>
      </c>
      <c r="E14" s="9">
        <f>Gear!$H$14</f>
        <v>77</v>
      </c>
      <c r="F14" s="77">
        <f>Gear!$I$14</f>
        <v>31</v>
      </c>
      <c r="G14" s="9">
        <f>Gear!$J$14</f>
        <v>275</v>
      </c>
      <c r="H14" s="82">
        <f>Gear!$K$14</f>
        <v>0</v>
      </c>
      <c r="I14" s="94"/>
      <c r="J14" s="90"/>
      <c r="K14" s="90"/>
      <c r="L14" s="91"/>
      <c r="M14" s="10">
        <f>Gear!$O$14</f>
        <v>0</v>
      </c>
      <c r="N14" s="173"/>
      <c r="O14" s="164"/>
      <c r="P14" s="91"/>
      <c r="Q14" s="124"/>
      <c r="R14" s="4"/>
      <c r="S14" s="136" t="s">
        <v>99</v>
      </c>
      <c r="T14" s="193">
        <f>Gear!$C$58+IF(I32="y",(J32*(1+T34)),0)</f>
        <v>1224.5900000000001</v>
      </c>
      <c r="U14" s="53"/>
      <c r="V14" s="311" t="s">
        <v>78</v>
      </c>
      <c r="W14" s="311"/>
      <c r="X14" s="138"/>
      <c r="Y14" s="111" t="s">
        <v>80</v>
      </c>
      <c r="Z14" s="111" t="s">
        <v>82</v>
      </c>
    </row>
    <row r="15" spans="1:27" ht="15.75" x14ac:dyDescent="0.25">
      <c r="A15" s="24" t="s">
        <v>10</v>
      </c>
      <c r="B15" s="78">
        <f>Gear!$E$19</f>
        <v>468</v>
      </c>
      <c r="C15" s="6">
        <f>Gear!$F$19</f>
        <v>82</v>
      </c>
      <c r="D15" s="76">
        <f>Gear!$G$19</f>
        <v>56</v>
      </c>
      <c r="E15" s="6">
        <f>Gear!$H$19</f>
        <v>0</v>
      </c>
      <c r="F15" s="76">
        <f>Gear!$I$19</f>
        <v>0</v>
      </c>
      <c r="G15" s="6">
        <f>Gear!$J$19</f>
        <v>306</v>
      </c>
      <c r="H15" s="76">
        <f>Gear!$K$19</f>
        <v>0</v>
      </c>
      <c r="I15" s="168">
        <f>Gear!$L$19</f>
        <v>0.06</v>
      </c>
      <c r="J15" s="94"/>
      <c r="K15" s="90"/>
      <c r="L15" s="91"/>
      <c r="M15" s="88">
        <f>Gear!$O$19</f>
        <v>0</v>
      </c>
      <c r="N15" s="171">
        <f>Gear!$N$19</f>
        <v>0</v>
      </c>
      <c r="O15" s="165"/>
      <c r="P15" s="91"/>
      <c r="Q15" s="123"/>
      <c r="R15" s="4"/>
      <c r="S15" s="136" t="s">
        <v>116</v>
      </c>
      <c r="T15" s="161">
        <f>Gear!$C$59</f>
        <v>0</v>
      </c>
      <c r="U15" s="53"/>
      <c r="V15" s="107" t="s">
        <v>85</v>
      </c>
      <c r="W15" s="115">
        <f>IF(Z15="y",B23+C24+(G24/2),(B23+C24))</f>
        <v>6190</v>
      </c>
      <c r="X15" s="151"/>
      <c r="Y15" s="58" t="s">
        <v>81</v>
      </c>
      <c r="Z15" s="120" t="s">
        <v>83</v>
      </c>
    </row>
    <row r="16" spans="1:27" ht="15.75" x14ac:dyDescent="0.25">
      <c r="A16" s="24" t="s">
        <v>9</v>
      </c>
      <c r="B16" s="78">
        <f>Gear!$E$24</f>
        <v>265</v>
      </c>
      <c r="C16" s="6">
        <f>Gear!$F$24</f>
        <v>0</v>
      </c>
      <c r="D16" s="76">
        <f>Gear!$G$24</f>
        <v>52</v>
      </c>
      <c r="E16" s="6">
        <f>Gear!$H$24</f>
        <v>0</v>
      </c>
      <c r="F16" s="76">
        <f>Gear!$I$24</f>
        <v>0</v>
      </c>
      <c r="G16" s="6">
        <f>Gear!$J$24</f>
        <v>141</v>
      </c>
      <c r="H16" s="76">
        <f>Gear!$K$24</f>
        <v>155</v>
      </c>
      <c r="I16" s="169">
        <f>Gear!$L$24</f>
        <v>0</v>
      </c>
      <c r="J16" s="95">
        <f>Gear!$M$24</f>
        <v>0.5</v>
      </c>
      <c r="K16" s="93"/>
      <c r="L16" s="91"/>
      <c r="M16" s="88">
        <f>Gear!$O$24</f>
        <v>0</v>
      </c>
      <c r="N16" s="171">
        <f>Gear!$N$24</f>
        <v>0.09</v>
      </c>
      <c r="O16" s="196">
        <f>Gear!$P$24</f>
        <v>0</v>
      </c>
      <c r="P16" s="91"/>
      <c r="Q16" s="123"/>
      <c r="R16" s="4"/>
      <c r="S16" s="136" t="s">
        <v>117</v>
      </c>
      <c r="T16" s="161">
        <f>Gear!$C$60</f>
        <v>0</v>
      </c>
      <c r="V16" s="108" t="s">
        <v>39</v>
      </c>
      <c r="W16" s="113">
        <f>W15/((50*63)+W15)</f>
        <v>0.66274089935760172</v>
      </c>
      <c r="X16" s="136"/>
    </row>
    <row r="17" spans="1:26" ht="15.75" x14ac:dyDescent="0.25">
      <c r="A17" s="24" t="s">
        <v>7</v>
      </c>
      <c r="B17" s="76">
        <f>Gear!$E$29</f>
        <v>416</v>
      </c>
      <c r="C17" s="6">
        <f>Gear!$F$29</f>
        <v>0</v>
      </c>
      <c r="D17" s="76">
        <f>Gear!$G$29</f>
        <v>0</v>
      </c>
      <c r="E17" s="6">
        <f>Gear!$H$29</f>
        <v>0</v>
      </c>
      <c r="F17" s="76">
        <f>Gear!$I$29</f>
        <v>88</v>
      </c>
      <c r="G17" s="6">
        <f>Gear!$J$29</f>
        <v>153</v>
      </c>
      <c r="H17" s="76">
        <f>Gear!$K$29</f>
        <v>0</v>
      </c>
      <c r="I17" s="170">
        <f>Gear!$L$29</f>
        <v>0.01</v>
      </c>
      <c r="J17" s="99"/>
      <c r="K17" s="90"/>
      <c r="L17" s="91"/>
      <c r="M17" s="88">
        <f>Gear!$O$29</f>
        <v>0</v>
      </c>
      <c r="N17" s="171">
        <f>Gear!$N$29</f>
        <v>0.09</v>
      </c>
      <c r="O17" s="165"/>
      <c r="P17" s="91"/>
      <c r="Q17" s="123"/>
      <c r="R17" s="4"/>
      <c r="S17" s="136" t="s">
        <v>103</v>
      </c>
      <c r="T17" s="161">
        <f>T13-T15</f>
        <v>722.8</v>
      </c>
      <c r="V17" s="108" t="s">
        <v>75</v>
      </c>
      <c r="W17" s="116">
        <f>IF(Z17="y",E23+D23+(H24/10),(E23+H24/10))</f>
        <v>804.8</v>
      </c>
      <c r="X17" s="151"/>
      <c r="Y17" s="58" t="s">
        <v>79</v>
      </c>
      <c r="Z17" s="120" t="s">
        <v>83</v>
      </c>
    </row>
    <row r="18" spans="1:26" ht="15.75" x14ac:dyDescent="0.25">
      <c r="A18" s="24" t="s">
        <v>21</v>
      </c>
      <c r="B18" s="78">
        <f>Gear!$E$34</f>
        <v>363</v>
      </c>
      <c r="C18" s="6">
        <f>Gear!$F$34</f>
        <v>0</v>
      </c>
      <c r="D18" s="76">
        <f>Gear!$G$34</f>
        <v>45</v>
      </c>
      <c r="E18" s="6">
        <f>Gear!$H$34</f>
        <v>69</v>
      </c>
      <c r="F18" s="76">
        <f>Gear!$I$34</f>
        <v>76</v>
      </c>
      <c r="G18" s="6">
        <f>Gear!$J$34</f>
        <v>190</v>
      </c>
      <c r="H18" s="76">
        <f>Gear!$K$34</f>
        <v>0</v>
      </c>
      <c r="I18" s="170">
        <f>Gear!$L$34</f>
        <v>0.06</v>
      </c>
      <c r="J18" s="94"/>
      <c r="K18" s="90"/>
      <c r="L18" s="91"/>
      <c r="M18" s="88">
        <f>Gear!$O$34</f>
        <v>0</v>
      </c>
      <c r="N18" s="171">
        <f>Gear!$N$34</f>
        <v>0</v>
      </c>
      <c r="O18" s="165"/>
      <c r="P18" s="91"/>
      <c r="Q18" s="123"/>
      <c r="R18" s="4"/>
      <c r="S18" s="136" t="s">
        <v>104</v>
      </c>
      <c r="T18" s="161">
        <f>T14-T16</f>
        <v>1224.5900000000001</v>
      </c>
      <c r="V18" s="108" t="s">
        <v>64</v>
      </c>
      <c r="W18" s="113">
        <f>IF(Z17="y",(E23+D23+(H24/10))/((5*63)+(E23+D23)+(H24/10)),(E23+(H24/10))/((5*63)+(E23)+(H24/10)))</f>
        <v>0.71869976781568135</v>
      </c>
      <c r="X18" s="136"/>
    </row>
    <row r="19" spans="1:26" ht="15.75" x14ac:dyDescent="0.25">
      <c r="A19" s="24" t="s">
        <v>14</v>
      </c>
      <c r="B19" s="78">
        <f>Gear!$E$39</f>
        <v>309</v>
      </c>
      <c r="C19" s="6">
        <f>Gear!$F$39</f>
        <v>0</v>
      </c>
      <c r="D19" s="78">
        <f>Gear!$G$39</f>
        <v>0</v>
      </c>
      <c r="E19" s="6">
        <f>Gear!$H$39</f>
        <v>0</v>
      </c>
      <c r="F19" s="76">
        <f>Gear!$I$39</f>
        <v>0</v>
      </c>
      <c r="G19" s="6">
        <f>Gear!$J$39</f>
        <v>220</v>
      </c>
      <c r="H19" s="76">
        <f>Gear!$K$39</f>
        <v>155</v>
      </c>
      <c r="I19" s="169">
        <f>Gear!$L$39</f>
        <v>9.5000000000000001E-2</v>
      </c>
      <c r="J19" s="85">
        <f>Gear!$M$39</f>
        <v>0.28999999999999998</v>
      </c>
      <c r="K19" s="94"/>
      <c r="L19" s="90"/>
      <c r="M19" s="96"/>
      <c r="N19" s="174">
        <f>Gear!$N$39</f>
        <v>7.0000000000000007E-2</v>
      </c>
      <c r="O19" s="165"/>
      <c r="P19" s="91"/>
      <c r="Q19" s="123"/>
      <c r="R19" s="4"/>
      <c r="S19" s="145" t="s">
        <v>128</v>
      </c>
      <c r="T19" s="136"/>
      <c r="V19" s="108" t="s">
        <v>130</v>
      </c>
      <c r="W19" s="113">
        <f>1-(((1-0.3)*(1-W16))*(1-W18))</f>
        <v>0.93359025567811327</v>
      </c>
      <c r="X19" s="136"/>
    </row>
    <row r="20" spans="1:26" ht="15.75" x14ac:dyDescent="0.25">
      <c r="A20" s="24" t="s">
        <v>48</v>
      </c>
      <c r="B20" s="78">
        <f>Gear!$E$44</f>
        <v>0</v>
      </c>
      <c r="C20" s="6">
        <f>Gear!$F$44</f>
        <v>0</v>
      </c>
      <c r="D20" s="78">
        <f>Gear!$G$44</f>
        <v>56</v>
      </c>
      <c r="E20" s="6">
        <f>Gear!$H$44</f>
        <v>0</v>
      </c>
      <c r="F20" s="76">
        <f>Gear!$I$44</f>
        <v>64</v>
      </c>
      <c r="G20" s="6">
        <f>Gear!$J$44</f>
        <v>86</v>
      </c>
      <c r="H20" s="76">
        <f>Gear!$K$44</f>
        <v>0</v>
      </c>
      <c r="I20" s="169">
        <f>Gear!$L$44</f>
        <v>4.4999999999999998E-2</v>
      </c>
      <c r="J20" s="79">
        <f>Gear!$M$44</f>
        <v>0</v>
      </c>
      <c r="K20" s="2">
        <f>Gear!$R$44</f>
        <v>0</v>
      </c>
      <c r="L20" s="98"/>
      <c r="M20" s="80">
        <f>Gear!$O$44</f>
        <v>0</v>
      </c>
      <c r="N20" s="174">
        <f>Gear!$N$44</f>
        <v>0.09</v>
      </c>
      <c r="O20" s="7">
        <f>Gear!$S$44</f>
        <v>0</v>
      </c>
      <c r="P20" s="98"/>
      <c r="Q20" s="123"/>
      <c r="R20" s="4"/>
      <c r="S20" s="136" t="s">
        <v>100</v>
      </c>
      <c r="T20" s="160">
        <f>IF(T22&gt;0,(T22*T21),T22)+IF(T23&gt;0,T23+T21,T21)+IF(T12&gt;0,T12,0)</f>
        <v>0</v>
      </c>
      <c r="V20" s="108" t="s">
        <v>65</v>
      </c>
      <c r="W20" s="117">
        <f>(((35*F24)+36)+(60*4))*(1+M23)</f>
        <v>57154.74</v>
      </c>
      <c r="X20" s="136"/>
    </row>
    <row r="21" spans="1:26" ht="15.75" x14ac:dyDescent="0.25">
      <c r="A21" s="24" t="s">
        <v>13</v>
      </c>
      <c r="B21" s="78">
        <f>Gear!$E$49</f>
        <v>206</v>
      </c>
      <c r="C21" s="6">
        <f>Gear!$F$49</f>
        <v>0</v>
      </c>
      <c r="D21" s="76">
        <f>Gear!$G$49</f>
        <v>59</v>
      </c>
      <c r="E21" s="6">
        <f>Gear!$H$49</f>
        <v>0</v>
      </c>
      <c r="F21" s="76">
        <f>Gear!$I$49</f>
        <v>52</v>
      </c>
      <c r="G21" s="6">
        <f>Gear!$J$49</f>
        <v>29</v>
      </c>
      <c r="H21" s="76">
        <f>Gear!$K$49</f>
        <v>0</v>
      </c>
      <c r="I21" s="169">
        <f>Gear!$L$49</f>
        <v>5.5E-2</v>
      </c>
      <c r="J21" s="79">
        <f>Gear!$M$49</f>
        <v>0</v>
      </c>
      <c r="K21" s="8">
        <f>Gear!$R$49</f>
        <v>0</v>
      </c>
      <c r="L21" s="98"/>
      <c r="M21" s="80">
        <f>Gear!$O$49</f>
        <v>0</v>
      </c>
      <c r="N21" s="174">
        <f>Gear!$N$49</f>
        <v>0.08</v>
      </c>
      <c r="O21" s="7">
        <f>Gear!$S$49</f>
        <v>0</v>
      </c>
      <c r="P21" s="98"/>
      <c r="Q21" s="123"/>
      <c r="R21" s="4"/>
      <c r="S21" t="s">
        <v>119</v>
      </c>
      <c r="T21" s="189">
        <f>IF(T6="n",0,Gear!$C$62)</f>
        <v>0</v>
      </c>
      <c r="V21" s="109" t="s">
        <v>37</v>
      </c>
      <c r="W21" s="117">
        <f>W20/(1-W19)</f>
        <v>860637.85644124891</v>
      </c>
      <c r="X21" s="136"/>
    </row>
    <row r="22" spans="1:26" x14ac:dyDescent="0.25">
      <c r="A22" s="24" t="s">
        <v>16</v>
      </c>
      <c r="B22" s="78">
        <f>Gear!$E$73</f>
        <v>0</v>
      </c>
      <c r="C22" s="6">
        <f>Gear!$F$73</f>
        <v>0</v>
      </c>
      <c r="D22" s="76">
        <f>Gear!$G$73</f>
        <v>0</v>
      </c>
      <c r="E22" s="6">
        <f>Gear!$H$73</f>
        <v>0</v>
      </c>
      <c r="F22" s="76">
        <f>Gear!$I$73</f>
        <v>0</v>
      </c>
      <c r="G22" s="6">
        <f>Gear!$J$73</f>
        <v>221</v>
      </c>
      <c r="H22" s="76">
        <f>Gear!$K$73</f>
        <v>0</v>
      </c>
      <c r="I22" s="169">
        <f>Gear!$L$73</f>
        <v>0.1</v>
      </c>
      <c r="J22" s="79">
        <f>Gear!$M$73</f>
        <v>0.86</v>
      </c>
      <c r="K22" s="8">
        <f>Gear!$R$73</f>
        <v>0</v>
      </c>
      <c r="L22" s="98"/>
      <c r="M22" s="80">
        <f>Gear!$O$73</f>
        <v>0</v>
      </c>
      <c r="N22" s="174">
        <f>Gear!$N$73</f>
        <v>0</v>
      </c>
      <c r="O22" s="7">
        <f>Gear!$S$73</f>
        <v>0</v>
      </c>
      <c r="P22" s="98"/>
      <c r="Q22" s="123"/>
      <c r="R22" s="4"/>
      <c r="S22" t="s">
        <v>118</v>
      </c>
      <c r="T22" s="190">
        <f>IF(T6="n",0,Gear!$C$63)</f>
        <v>0</v>
      </c>
      <c r="V22" s="22"/>
      <c r="W22" s="22"/>
      <c r="X22" s="136"/>
    </row>
    <row r="23" spans="1:26" x14ac:dyDescent="0.25">
      <c r="A23" s="24" t="s">
        <v>28</v>
      </c>
      <c r="B23" s="5">
        <f>SUM(B9:B22)</f>
        <v>4345</v>
      </c>
      <c r="C23" s="5">
        <f>SUM(C9:C22)</f>
        <v>82</v>
      </c>
      <c r="D23" s="5">
        <f>SUM(D11:D22)</f>
        <v>464</v>
      </c>
      <c r="E23" s="5">
        <f t="shared" ref="E23:K23" si="0">SUM(E9:E22)</f>
        <v>273</v>
      </c>
      <c r="F23" s="5">
        <f t="shared" si="0"/>
        <v>931</v>
      </c>
      <c r="G23" s="5">
        <f t="shared" si="0"/>
        <v>2153</v>
      </c>
      <c r="H23" s="5">
        <f t="shared" si="0"/>
        <v>511</v>
      </c>
      <c r="I23" s="62">
        <f t="shared" si="0"/>
        <v>0.51500000000000001</v>
      </c>
      <c r="J23" s="12">
        <f t="shared" si="0"/>
        <v>2.61</v>
      </c>
      <c r="K23" s="5">
        <f t="shared" si="0"/>
        <v>0</v>
      </c>
      <c r="L23" s="5"/>
      <c r="M23" s="12">
        <f>SUM(M9:M22)+M25</f>
        <v>0.28999999999999998</v>
      </c>
      <c r="N23" s="12">
        <f>SUM(N9:N22)</f>
        <v>0.51</v>
      </c>
      <c r="O23" s="12">
        <f>SUM(O9:O22)</f>
        <v>0</v>
      </c>
      <c r="P23" s="5"/>
      <c r="Q23" s="125">
        <f>SUM(Q9:Q22)</f>
        <v>0</v>
      </c>
      <c r="R23" s="4"/>
      <c r="S23" s="155" t="s">
        <v>121</v>
      </c>
      <c r="T23" s="191">
        <f>IF(T6="n",0,Gear!$C$64)</f>
        <v>0</v>
      </c>
      <c r="V23" s="323" t="s">
        <v>156</v>
      </c>
      <c r="W23" s="324"/>
      <c r="X23" s="136"/>
    </row>
    <row r="24" spans="1:26" ht="15" customHeight="1" thickBot="1" x14ac:dyDescent="0.3">
      <c r="A24" s="131" t="s">
        <v>67</v>
      </c>
      <c r="B24" s="5"/>
      <c r="C24" s="5">
        <f>(67+(1*B2))+C23</f>
        <v>249</v>
      </c>
      <c r="D24" s="5"/>
      <c r="E24" s="5"/>
      <c r="F24" s="5">
        <f>(127+(2*B2))+F23+F25+IF(G27="y",100,0)</f>
        <v>1258</v>
      </c>
      <c r="G24" s="5">
        <f>(187+(3*B2))+G23+G25+IF(G26="y",130,0)</f>
        <v>3192</v>
      </c>
      <c r="H24" s="5">
        <f>(67+(1*B2))+H23</f>
        <v>678</v>
      </c>
      <c r="I24" s="62">
        <f>I23+5%+IF(G28="y",7%,0)</f>
        <v>0.56500000000000006</v>
      </c>
      <c r="J24" s="12">
        <f>J23+50%+J25+J26</f>
        <v>3.11</v>
      </c>
      <c r="K24" s="5"/>
      <c r="L24" s="5"/>
      <c r="M24" s="5"/>
      <c r="N24" s="5"/>
      <c r="O24" s="5"/>
      <c r="P24" s="14" t="s">
        <v>36</v>
      </c>
      <c r="Q24" s="125">
        <f>SUM(P30:P33)</f>
        <v>0</v>
      </c>
      <c r="R24" s="4"/>
      <c r="S24" s="136" t="s">
        <v>98</v>
      </c>
      <c r="T24" s="161">
        <f>IF(T6="n",0,Gear!$C$66)+IF(I33="y",(J33*(1+T35)),0)</f>
        <v>0</v>
      </c>
      <c r="V24" s="303">
        <f t="shared" ref="V24" si="1">$S$126</f>
        <v>866971.26435140986</v>
      </c>
      <c r="W24" s="304"/>
    </row>
    <row r="25" spans="1:26" ht="16.5" thickTop="1" thickBot="1" x14ac:dyDescent="0.3">
      <c r="A25" s="132"/>
      <c r="B25" s="5"/>
      <c r="C25" s="5"/>
      <c r="D25" s="5"/>
      <c r="E25" s="65" t="s">
        <v>69</v>
      </c>
      <c r="F25" s="115">
        <f>SUM(D32*E32)+(D33*E33)</f>
        <v>0</v>
      </c>
      <c r="G25" s="115">
        <f>SUM(B32*C32)+(B33*C33)</f>
        <v>422</v>
      </c>
      <c r="H25" s="3"/>
      <c r="I25" s="3" t="s">
        <v>154</v>
      </c>
      <c r="J25" s="210">
        <f>IF(L32="y",K32,0)</f>
        <v>0</v>
      </c>
      <c r="K25" s="5"/>
      <c r="L25" s="5" t="s">
        <v>76</v>
      </c>
      <c r="M25" s="112">
        <v>0.18</v>
      </c>
      <c r="N25" s="45"/>
      <c r="O25" s="45"/>
      <c r="P25" s="25" t="s">
        <v>126</v>
      </c>
      <c r="Q25" s="126">
        <f>Q23+Q24</f>
        <v>0</v>
      </c>
      <c r="R25" s="4"/>
      <c r="S25" s="136" t="s">
        <v>99</v>
      </c>
      <c r="T25" s="161">
        <f>IF(T6="n",0,Gear!$C$67)+IF(I33="y",(J33*(1+T35)),0)</f>
        <v>0</v>
      </c>
    </row>
    <row r="26" spans="1:26" ht="15.75" thickTop="1" x14ac:dyDescent="0.25">
      <c r="A26" s="24"/>
      <c r="B26" s="5"/>
      <c r="C26" s="5"/>
      <c r="D26" s="5"/>
      <c r="E26" s="309" t="s">
        <v>68</v>
      </c>
      <c r="F26" s="310"/>
      <c r="G26" s="120" t="s">
        <v>83</v>
      </c>
      <c r="H26" s="65" t="s">
        <v>122</v>
      </c>
      <c r="I26" s="3" t="s">
        <v>155</v>
      </c>
      <c r="J26" s="210">
        <f>IF(T6="n",0,IF(L33="y",K33,0))</f>
        <v>0</v>
      </c>
      <c r="K26" s="5"/>
      <c r="L26" s="5"/>
      <c r="M26" s="5"/>
      <c r="N26" s="5"/>
      <c r="O26" s="5"/>
      <c r="P26" s="3"/>
      <c r="Q26" s="3"/>
      <c r="R26" s="4"/>
      <c r="S26" s="136" t="s">
        <v>101</v>
      </c>
      <c r="T26" s="161">
        <f>IF(T6="n",0,Gear!$C$68)</f>
        <v>0</v>
      </c>
      <c r="V26" s="305" t="s">
        <v>177</v>
      </c>
      <c r="W26" s="305"/>
    </row>
    <row r="27" spans="1:26" ht="15" customHeight="1" x14ac:dyDescent="0.25">
      <c r="A27" s="24"/>
      <c r="B27" s="19"/>
      <c r="C27" s="19"/>
      <c r="D27" s="19"/>
      <c r="E27" s="314" t="s">
        <v>149</v>
      </c>
      <c r="F27" s="315"/>
      <c r="G27" s="120" t="s">
        <v>84</v>
      </c>
      <c r="H27" s="24" t="s">
        <v>123</v>
      </c>
      <c r="N27" s="16"/>
      <c r="O27" s="16"/>
      <c r="R27" s="4"/>
      <c r="S27" s="136" t="s">
        <v>102</v>
      </c>
      <c r="T27" s="161">
        <f>IF(T6="n",0,Gear!$C$69)</f>
        <v>0</v>
      </c>
      <c r="V27" s="289">
        <v>0.3</v>
      </c>
      <c r="W27" s="290">
        <f>W21+Z125</f>
        <v>879638.08017173153</v>
      </c>
    </row>
    <row r="28" spans="1:26" x14ac:dyDescent="0.25">
      <c r="E28" s="314" t="s">
        <v>153</v>
      </c>
      <c r="F28" s="322"/>
      <c r="G28" s="120" t="s">
        <v>84</v>
      </c>
      <c r="H28" t="s">
        <v>54</v>
      </c>
      <c r="Q28" s="53"/>
      <c r="R28" s="53"/>
      <c r="S28" s="136" t="s">
        <v>103</v>
      </c>
      <c r="T28" s="161">
        <f>T24-T26</f>
        <v>0</v>
      </c>
    </row>
    <row r="29" spans="1:26" x14ac:dyDescent="0.25">
      <c r="A29" s="180"/>
      <c r="C29" s="321" t="s">
        <v>150</v>
      </c>
      <c r="D29" s="321"/>
      <c r="I29" s="321" t="s">
        <v>148</v>
      </c>
      <c r="J29" s="321"/>
      <c r="K29" s="321"/>
      <c r="L29" s="321"/>
      <c r="P29" s="4" t="s">
        <v>41</v>
      </c>
      <c r="Q29" s="134"/>
      <c r="S29" s="136" t="s">
        <v>104</v>
      </c>
      <c r="T29" s="161">
        <f>T25-T27</f>
        <v>0</v>
      </c>
    </row>
    <row r="30" spans="1:26" x14ac:dyDescent="0.25">
      <c r="A30" s="308" t="s">
        <v>97</v>
      </c>
      <c r="B30" s="312" t="s">
        <v>95</v>
      </c>
      <c r="C30" s="313"/>
      <c r="D30" s="306" t="s">
        <v>96</v>
      </c>
      <c r="E30" s="307"/>
      <c r="I30" s="316" t="s">
        <v>144</v>
      </c>
      <c r="J30" s="317"/>
      <c r="K30" s="319" t="s">
        <v>147</v>
      </c>
      <c r="L30" s="320"/>
      <c r="P30" s="127"/>
      <c r="Q30" s="119" t="s">
        <v>6</v>
      </c>
      <c r="V30" s="136"/>
      <c r="W30" s="140"/>
      <c r="X30" s="136"/>
    </row>
    <row r="31" spans="1:26" x14ac:dyDescent="0.25">
      <c r="A31" s="308"/>
      <c r="B31" s="217" t="s">
        <v>86</v>
      </c>
      <c r="C31" s="128" t="s">
        <v>94</v>
      </c>
      <c r="D31" s="129" t="s">
        <v>86</v>
      </c>
      <c r="E31" s="128" t="s">
        <v>94</v>
      </c>
      <c r="I31" s="318" t="s">
        <v>143</v>
      </c>
      <c r="J31" s="299"/>
      <c r="K31" s="318" t="s">
        <v>143</v>
      </c>
      <c r="L31" s="299"/>
      <c r="P31" s="127"/>
      <c r="Q31" s="133" t="s">
        <v>21</v>
      </c>
      <c r="S31" s="152" t="s">
        <v>115</v>
      </c>
      <c r="Z31" s="121"/>
    </row>
    <row r="32" spans="1:26" x14ac:dyDescent="0.25">
      <c r="A32" s="308"/>
      <c r="B32" s="218">
        <v>4</v>
      </c>
      <c r="C32" s="130">
        <v>62</v>
      </c>
      <c r="D32" s="215">
        <v>0</v>
      </c>
      <c r="E32" s="130">
        <v>54</v>
      </c>
      <c r="H32" s="105" t="s">
        <v>58</v>
      </c>
      <c r="I32" s="120" t="s">
        <v>83</v>
      </c>
      <c r="J32" s="75">
        <v>160</v>
      </c>
      <c r="K32" s="209">
        <v>1.1000000000000001</v>
      </c>
      <c r="L32" s="120" t="s">
        <v>84</v>
      </c>
      <c r="M32" s="208" t="s">
        <v>58</v>
      </c>
      <c r="P32" s="127"/>
      <c r="Q32" s="133" t="s">
        <v>22</v>
      </c>
      <c r="S32" s="136" t="s">
        <v>114</v>
      </c>
      <c r="T32" s="175">
        <f>$O$23</f>
        <v>0</v>
      </c>
    </row>
    <row r="33" spans="1:24" x14ac:dyDescent="0.25">
      <c r="A33" s="308"/>
      <c r="B33" s="219">
        <v>3</v>
      </c>
      <c r="C33" s="130">
        <v>58</v>
      </c>
      <c r="D33" s="216">
        <v>0</v>
      </c>
      <c r="E33" s="130">
        <v>42</v>
      </c>
      <c r="H33" s="202" t="s">
        <v>61</v>
      </c>
      <c r="I33" s="120" t="s">
        <v>84</v>
      </c>
      <c r="J33" s="197">
        <v>80</v>
      </c>
      <c r="K33" s="209">
        <v>1.1000000000000001</v>
      </c>
      <c r="L33" s="120" t="s">
        <v>84</v>
      </c>
      <c r="M33" s="207" t="s">
        <v>61</v>
      </c>
      <c r="P33" s="127"/>
      <c r="Q33" s="134" t="s">
        <v>23</v>
      </c>
      <c r="R33" s="181"/>
    </row>
    <row r="34" spans="1:24" x14ac:dyDescent="0.25">
      <c r="A34" s="308"/>
      <c r="Q34" s="180"/>
      <c r="S34" s="203" t="s">
        <v>158</v>
      </c>
      <c r="T34" s="190">
        <f>Gear!$C$56</f>
        <v>0.39</v>
      </c>
    </row>
    <row r="35" spans="1:24" x14ac:dyDescent="0.25">
      <c r="S35" s="203" t="s">
        <v>159</v>
      </c>
      <c r="T35" s="190">
        <f>IF(T6="n",0,Gear!$C$65)</f>
        <v>0</v>
      </c>
    </row>
    <row r="37" spans="1:24" x14ac:dyDescent="0.25">
      <c r="W37" s="162"/>
    </row>
    <row r="38" spans="1:24" x14ac:dyDescent="0.25">
      <c r="W38" s="162"/>
    </row>
    <row r="40" spans="1:24" x14ac:dyDescent="0.25">
      <c r="V40" s="135"/>
      <c r="W40" s="144"/>
      <c r="X40" s="142"/>
    </row>
    <row r="41" spans="1:24" x14ac:dyDescent="0.25">
      <c r="B41" s="214"/>
      <c r="C41" s="214"/>
      <c r="D41" s="214"/>
      <c r="E41" s="214"/>
      <c r="V41" s="139"/>
      <c r="X41" s="142"/>
    </row>
    <row r="44" spans="1:24" ht="15" hidden="1" customHeight="1" x14ac:dyDescent="0.25">
      <c r="B44" s="66"/>
    </row>
    <row r="45" spans="1:24" ht="15" hidden="1" customHeight="1" x14ac:dyDescent="0.25">
      <c r="B45" s="61"/>
    </row>
    <row r="46" spans="1:24" ht="15" hidden="1" customHeight="1" x14ac:dyDescent="0.25">
      <c r="B46" s="61"/>
    </row>
    <row r="47" spans="1:24" ht="15" hidden="1" customHeight="1" x14ac:dyDescent="0.25"/>
    <row r="70" spans="7:8" x14ac:dyDescent="0.25">
      <c r="G70" s="136"/>
      <c r="H70" s="159"/>
    </row>
    <row r="83" spans="1:6" hidden="1" x14ac:dyDescent="0.25"/>
    <row r="84" spans="1:6" hidden="1" x14ac:dyDescent="0.25">
      <c r="A84" t="s">
        <v>83</v>
      </c>
      <c r="B84" t="s">
        <v>83</v>
      </c>
    </row>
    <row r="85" spans="1:6" hidden="1" x14ac:dyDescent="0.25">
      <c r="A85" t="s">
        <v>84</v>
      </c>
      <c r="B85" t="s">
        <v>84</v>
      </c>
    </row>
    <row r="86" spans="1:6" hidden="1" x14ac:dyDescent="0.25">
      <c r="D86">
        <v>0</v>
      </c>
      <c r="F86">
        <v>0</v>
      </c>
    </row>
    <row r="87" spans="1:6" hidden="1" x14ac:dyDescent="0.25">
      <c r="A87" t="s">
        <v>87</v>
      </c>
      <c r="D87">
        <v>62</v>
      </c>
      <c r="F87">
        <v>8</v>
      </c>
    </row>
    <row r="88" spans="1:6" hidden="1" x14ac:dyDescent="0.25">
      <c r="A88" t="s">
        <v>88</v>
      </c>
      <c r="D88">
        <v>58</v>
      </c>
      <c r="F88">
        <v>7</v>
      </c>
    </row>
    <row r="89" spans="1:6" hidden="1" x14ac:dyDescent="0.25">
      <c r="A89" t="s">
        <v>89</v>
      </c>
      <c r="D89">
        <v>54</v>
      </c>
      <c r="F89">
        <v>6</v>
      </c>
    </row>
    <row r="90" spans="1:6" hidden="1" x14ac:dyDescent="0.25">
      <c r="A90" t="s">
        <v>90</v>
      </c>
      <c r="D90">
        <v>50</v>
      </c>
      <c r="F90">
        <v>5</v>
      </c>
    </row>
    <row r="91" spans="1:6" hidden="1" x14ac:dyDescent="0.25">
      <c r="A91" t="s">
        <v>91</v>
      </c>
      <c r="D91">
        <v>46</v>
      </c>
      <c r="F91">
        <v>4</v>
      </c>
    </row>
    <row r="92" spans="1:6" hidden="1" x14ac:dyDescent="0.25">
      <c r="A92" t="s">
        <v>92</v>
      </c>
      <c r="D92">
        <v>42</v>
      </c>
      <c r="F92">
        <v>3</v>
      </c>
    </row>
    <row r="93" spans="1:6" hidden="1" x14ac:dyDescent="0.25">
      <c r="A93" t="s">
        <v>93</v>
      </c>
      <c r="D93">
        <v>38</v>
      </c>
      <c r="F93">
        <v>2</v>
      </c>
    </row>
    <row r="94" spans="1:6" hidden="1" x14ac:dyDescent="0.25">
      <c r="D94">
        <v>34</v>
      </c>
      <c r="F94">
        <v>1</v>
      </c>
    </row>
    <row r="95" spans="1:6" hidden="1" x14ac:dyDescent="0.25"/>
    <row r="104" spans="1:16" hidden="1" x14ac:dyDescent="0.25"/>
    <row r="105" spans="1:16" hidden="1" x14ac:dyDescent="0.25"/>
    <row r="106" spans="1:16" hidden="1" x14ac:dyDescent="0.25">
      <c r="M106" s="302"/>
      <c r="N106" s="302"/>
      <c r="O106" s="302"/>
      <c r="P106" s="302"/>
    </row>
    <row r="107" spans="1:16" hidden="1" x14ac:dyDescent="0.25">
      <c r="A107" s="145" t="s">
        <v>56</v>
      </c>
      <c r="B107" s="136"/>
      <c r="C107" s="136"/>
      <c r="F107" s="52">
        <v>0.19</v>
      </c>
    </row>
    <row r="108" spans="1:16" hidden="1" x14ac:dyDescent="0.25">
      <c r="A108" s="137"/>
      <c r="B108" s="141" t="s">
        <v>105</v>
      </c>
      <c r="C108" s="141" t="s">
        <v>106</v>
      </c>
      <c r="F108" s="52">
        <v>0.18</v>
      </c>
      <c r="P108" s="280"/>
    </row>
    <row r="109" spans="1:16" hidden="1" x14ac:dyDescent="0.25">
      <c r="A109" s="136" t="s">
        <v>107</v>
      </c>
      <c r="B109" s="146">
        <f>SUM(Gear!$P44+Gear!$P49+Gear!$P73)</f>
        <v>63</v>
      </c>
      <c r="C109" s="146">
        <f>SUM(Gear!$Q44+Gear!$Q49+Gear!$Q73)</f>
        <v>166</v>
      </c>
      <c r="F109" s="52">
        <v>0.17</v>
      </c>
      <c r="M109" s="301"/>
      <c r="N109" s="301"/>
      <c r="P109" s="280"/>
    </row>
    <row r="110" spans="1:16" hidden="1" x14ac:dyDescent="0.25">
      <c r="A110" s="136"/>
      <c r="B110" s="140"/>
      <c r="C110" s="140"/>
      <c r="F110" s="52">
        <v>0.16</v>
      </c>
      <c r="M110" s="302"/>
      <c r="N110" s="302"/>
      <c r="P110" s="280"/>
    </row>
    <row r="111" spans="1:16" hidden="1" x14ac:dyDescent="0.25">
      <c r="C111" s="140"/>
      <c r="F111" s="52">
        <v>0.15</v>
      </c>
      <c r="P111" s="280"/>
    </row>
    <row r="112" spans="1:16" hidden="1" x14ac:dyDescent="0.25">
      <c r="A112" s="135"/>
      <c r="B112" s="142"/>
      <c r="C112" s="142"/>
      <c r="F112" s="52">
        <v>0.14000000000000001</v>
      </c>
      <c r="M112" s="302"/>
      <c r="N112" s="302"/>
      <c r="O112" s="302"/>
      <c r="P112" s="162"/>
    </row>
    <row r="113" spans="1:27" hidden="1" x14ac:dyDescent="0.25">
      <c r="A113" s="135" t="s">
        <v>108</v>
      </c>
      <c r="B113" s="176">
        <f>(T17+B109+T18+C109)/2*T32</f>
        <v>0</v>
      </c>
      <c r="C113" s="142"/>
    </row>
    <row r="114" spans="1:27" hidden="1" x14ac:dyDescent="0.25">
      <c r="A114" s="135" t="s">
        <v>109</v>
      </c>
      <c r="B114" s="143">
        <f>(T28+B109+T29+C109)/2*T32</f>
        <v>0</v>
      </c>
      <c r="C114" s="142"/>
    </row>
    <row r="115" spans="1:27" hidden="1" x14ac:dyDescent="0.25"/>
    <row r="116" spans="1:27" hidden="1" x14ac:dyDescent="0.25"/>
    <row r="117" spans="1:27" hidden="1" x14ac:dyDescent="0.25"/>
    <row r="118" spans="1:27" hidden="1" x14ac:dyDescent="0.25">
      <c r="E118" t="s">
        <v>125</v>
      </c>
      <c r="U118" s="162"/>
    </row>
    <row r="119" spans="1:27" hidden="1" x14ac:dyDescent="0.25">
      <c r="A119" s="178"/>
      <c r="B119" s="179"/>
      <c r="C119" s="179"/>
      <c r="D119" s="179"/>
      <c r="E119" s="179"/>
      <c r="F119" s="179"/>
      <c r="G119" s="179"/>
      <c r="H119" s="179"/>
      <c r="I119" s="179"/>
      <c r="J119" s="179"/>
      <c r="K119" s="179"/>
      <c r="L119" s="179"/>
      <c r="M119" s="180"/>
      <c r="U119" t="s">
        <v>178</v>
      </c>
    </row>
    <row r="120" spans="1:27" hidden="1" x14ac:dyDescent="0.25">
      <c r="A120" s="181" t="s">
        <v>132</v>
      </c>
      <c r="B120" s="53">
        <f>1+(G24*0.01)</f>
        <v>32.92</v>
      </c>
      <c r="C120" s="53"/>
      <c r="D120" s="53"/>
      <c r="E120" s="53"/>
      <c r="F120" s="53"/>
      <c r="G120" s="53"/>
      <c r="H120" s="53"/>
      <c r="I120" s="56" t="s">
        <v>137</v>
      </c>
      <c r="J120" s="56" t="s">
        <v>138</v>
      </c>
      <c r="K120" s="53"/>
      <c r="L120" s="56" t="s">
        <v>139</v>
      </c>
      <c r="M120" s="56" t="s">
        <v>140</v>
      </c>
      <c r="Q120" s="178"/>
      <c r="R120" s="179"/>
      <c r="S120" s="179"/>
      <c r="T120" s="179"/>
      <c r="U120" s="179"/>
      <c r="V120" s="179"/>
      <c r="W120" s="179"/>
      <c r="X120" s="179"/>
      <c r="Y120" s="179"/>
      <c r="Z120" s="179"/>
      <c r="AA120" s="180"/>
    </row>
    <row r="121" spans="1:27" hidden="1" x14ac:dyDescent="0.25">
      <c r="A121" s="181" t="s">
        <v>133</v>
      </c>
      <c r="B121" s="53">
        <f>1+((I24*100)*0.01)*((J24*100)*0.01)</f>
        <v>2.7571500000000002</v>
      </c>
      <c r="C121" s="53"/>
      <c r="D121" s="53"/>
      <c r="E121" s="53"/>
      <c r="F121" s="53"/>
      <c r="G121" s="53"/>
      <c r="H121" s="53"/>
      <c r="I121" s="75">
        <f>T9*(1+0.15+(N23*100)*0.01)</f>
        <v>2.3239999999999998</v>
      </c>
      <c r="J121" s="75">
        <f>T20*(1+0.15+(N23*100)*0.01)</f>
        <v>0</v>
      </c>
      <c r="K121" s="53"/>
      <c r="L121" s="177">
        <f>((T13+B109)+(T14+C109))/2+B113</f>
        <v>1088.1950000000002</v>
      </c>
      <c r="M121" s="75">
        <f>((T24+B109)+(T25+C109))/2+B114</f>
        <v>114.5</v>
      </c>
      <c r="Q121" s="181" t="s">
        <v>164</v>
      </c>
      <c r="R121" s="53"/>
      <c r="S121" s="53">
        <v>1000000</v>
      </c>
      <c r="T121" s="53"/>
      <c r="U121" s="295" t="s">
        <v>170</v>
      </c>
      <c r="V121" s="295"/>
      <c r="W121" s="295"/>
      <c r="X121" s="53"/>
      <c r="Y121" s="53"/>
      <c r="Z121" s="53"/>
      <c r="AA121" s="182"/>
    </row>
    <row r="122" spans="1:27" hidden="1" x14ac:dyDescent="0.25">
      <c r="A122" s="181" t="s">
        <v>134</v>
      </c>
      <c r="B122" s="183" t="e">
        <f>2/(1/I121+1/J121)</f>
        <v>#DIV/0!</v>
      </c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182"/>
      <c r="Q122" s="181" t="s">
        <v>165</v>
      </c>
      <c r="R122" s="53"/>
      <c r="S122" s="291">
        <f>S121-(S121*W19)</f>
        <v>66409.744321886683</v>
      </c>
      <c r="T122" s="53"/>
      <c r="U122" s="295" t="s">
        <v>171</v>
      </c>
      <c r="V122" s="295"/>
      <c r="W122" s="295"/>
      <c r="X122" s="53"/>
      <c r="Y122" s="53"/>
      <c r="Z122" s="53"/>
      <c r="AA122" s="182"/>
    </row>
    <row r="123" spans="1:27" hidden="1" x14ac:dyDescent="0.25">
      <c r="A123" s="181" t="s">
        <v>135</v>
      </c>
      <c r="B123" s="53">
        <f>(L121+M121)/2</f>
        <v>601.34750000000008</v>
      </c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182"/>
      <c r="Q123" s="296" t="s">
        <v>167</v>
      </c>
      <c r="R123" s="295"/>
      <c r="S123" s="53">
        <f>(Gear!O79+Gear!P79)/2</f>
        <v>4206</v>
      </c>
      <c r="T123" s="53"/>
      <c r="U123" s="295" t="s">
        <v>172</v>
      </c>
      <c r="V123" s="295"/>
      <c r="W123" s="295"/>
      <c r="X123" s="53"/>
      <c r="Y123" s="53"/>
      <c r="Z123" s="53"/>
      <c r="AA123" s="182"/>
    </row>
    <row r="124" spans="1:27" hidden="1" x14ac:dyDescent="0.25">
      <c r="A124" s="181" t="s">
        <v>136</v>
      </c>
      <c r="B124" s="53">
        <v>1</v>
      </c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182"/>
      <c r="Q124" s="181" t="s">
        <v>166</v>
      </c>
      <c r="R124" s="53"/>
      <c r="S124" s="53">
        <f>Gear!N79*Dashboard!S123</f>
        <v>420.6</v>
      </c>
      <c r="T124" s="53"/>
      <c r="U124" s="294" t="s">
        <v>173</v>
      </c>
      <c r="V124" s="294"/>
      <c r="W124" s="294"/>
      <c r="X124" s="53"/>
      <c r="Y124" s="53" t="s">
        <v>176</v>
      </c>
      <c r="Z124" s="53">
        <f>V27*Dashboard!S123</f>
        <v>1261.8</v>
      </c>
      <c r="AA124" s="182"/>
    </row>
    <row r="125" spans="1:27" hidden="1" x14ac:dyDescent="0.25">
      <c r="A125" s="181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182"/>
      <c r="Q125" s="181" t="s">
        <v>168</v>
      </c>
      <c r="R125" s="53"/>
      <c r="S125" s="292">
        <f>S124/(1-Dashboard!W19)</f>
        <v>6333.407910160895</v>
      </c>
      <c r="T125" s="53"/>
      <c r="U125" s="294" t="s">
        <v>175</v>
      </c>
      <c r="V125" s="294"/>
      <c r="W125" s="294"/>
      <c r="X125" s="53"/>
      <c r="Y125" s="53" t="s">
        <v>168</v>
      </c>
      <c r="Z125" s="53">
        <f>Z124/(1-Dashboard!W19)</f>
        <v>19000.223730482685</v>
      </c>
      <c r="AA125" s="182"/>
    </row>
    <row r="126" spans="1:27" hidden="1" x14ac:dyDescent="0.25">
      <c r="A126" s="181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182"/>
      <c r="Q126" s="181" t="s">
        <v>169</v>
      </c>
      <c r="R126" s="53"/>
      <c r="S126" s="293">
        <f>S125+W21</f>
        <v>866971.26435140986</v>
      </c>
      <c r="T126" s="53"/>
      <c r="U126" s="294" t="s">
        <v>174</v>
      </c>
      <c r="V126" s="294"/>
      <c r="W126" s="294"/>
      <c r="X126" s="53"/>
      <c r="Y126" s="53"/>
      <c r="Z126" s="53"/>
      <c r="AA126" s="182"/>
    </row>
    <row r="127" spans="1:27" hidden="1" x14ac:dyDescent="0.25">
      <c r="A127" s="104" t="s">
        <v>141</v>
      </c>
      <c r="B127" s="150" t="e">
        <f>(((B120*B121)*B122)*B123)*B124</f>
        <v>#DIV/0!</v>
      </c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05"/>
      <c r="Q127" s="104"/>
      <c r="R127" s="150"/>
      <c r="S127" s="150"/>
      <c r="T127" s="150"/>
      <c r="U127" s="150"/>
      <c r="V127" s="150"/>
      <c r="W127" s="150"/>
      <c r="X127" s="150"/>
      <c r="Y127" s="150"/>
      <c r="Z127" s="150"/>
      <c r="AA127" s="105"/>
    </row>
    <row r="128" spans="1:27" hidden="1" x14ac:dyDescent="0.25"/>
    <row r="129" spans="1:16" hidden="1" x14ac:dyDescent="0.25"/>
    <row r="130" spans="1:16" hidden="1" x14ac:dyDescent="0.25">
      <c r="E130" t="s">
        <v>142</v>
      </c>
    </row>
    <row r="131" spans="1:16" hidden="1" x14ac:dyDescent="0.25">
      <c r="A131" s="178"/>
      <c r="B131" s="179"/>
      <c r="C131" s="179"/>
      <c r="D131" s="179"/>
      <c r="E131" s="179"/>
      <c r="F131" s="179"/>
      <c r="G131" s="179"/>
      <c r="H131" s="179"/>
      <c r="I131" s="179"/>
      <c r="J131" s="179"/>
      <c r="K131" s="179"/>
      <c r="L131" s="179"/>
      <c r="M131" s="180"/>
      <c r="P131" s="52">
        <v>0.1</v>
      </c>
    </row>
    <row r="132" spans="1:16" hidden="1" x14ac:dyDescent="0.25">
      <c r="A132" s="181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182"/>
      <c r="P132" s="52">
        <v>0.11</v>
      </c>
    </row>
    <row r="133" spans="1:16" hidden="1" x14ac:dyDescent="0.25">
      <c r="A133" s="181" t="s">
        <v>132</v>
      </c>
      <c r="B133" s="53">
        <f>1+(G24*0.01)</f>
        <v>32.92</v>
      </c>
      <c r="C133" s="53"/>
      <c r="D133" s="53"/>
      <c r="E133" s="53"/>
      <c r="F133" s="53"/>
      <c r="G133" s="53"/>
      <c r="H133" s="53"/>
      <c r="I133" s="54"/>
      <c r="J133" s="53"/>
      <c r="K133" s="53"/>
      <c r="L133" s="75" t="s">
        <v>139</v>
      </c>
      <c r="M133" s="182"/>
      <c r="P133" s="52">
        <v>0.12</v>
      </c>
    </row>
    <row r="134" spans="1:16" hidden="1" x14ac:dyDescent="0.25">
      <c r="A134" s="181" t="s">
        <v>133</v>
      </c>
      <c r="B134" s="53">
        <f>1+((I24*100)*0.01)*((J24*100)*0.01)</f>
        <v>2.7571500000000002</v>
      </c>
      <c r="C134" s="53"/>
      <c r="D134" s="53"/>
      <c r="E134" s="53"/>
      <c r="F134" s="53"/>
      <c r="G134" s="53"/>
      <c r="H134" s="53"/>
      <c r="I134" s="54"/>
      <c r="J134" s="53"/>
      <c r="K134" s="53"/>
      <c r="L134" s="75">
        <f>((T13+B109)+(T14+C109))/2+B113</f>
        <v>1088.1950000000002</v>
      </c>
      <c r="M134" s="182"/>
      <c r="P134" s="52">
        <v>0.13</v>
      </c>
    </row>
    <row r="135" spans="1:16" hidden="1" x14ac:dyDescent="0.25">
      <c r="A135" s="181" t="s">
        <v>134</v>
      </c>
      <c r="B135" s="53">
        <f>T10*(1+(N23))</f>
        <v>2.1139999999999999</v>
      </c>
      <c r="C135" s="53"/>
      <c r="D135" s="53"/>
      <c r="E135" s="53"/>
      <c r="F135" s="53"/>
      <c r="G135" s="53"/>
      <c r="H135" s="53"/>
      <c r="I135" s="54"/>
      <c r="J135" s="53"/>
      <c r="K135" s="53"/>
      <c r="L135" s="54"/>
      <c r="M135" s="182"/>
      <c r="P135" s="52">
        <v>0.14000000000000001</v>
      </c>
    </row>
    <row r="136" spans="1:16" hidden="1" x14ac:dyDescent="0.25">
      <c r="A136" s="181" t="s">
        <v>135</v>
      </c>
      <c r="B136" s="53">
        <f>$L$134</f>
        <v>1088.1950000000002</v>
      </c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182"/>
      <c r="P136" s="52">
        <v>0.15</v>
      </c>
    </row>
    <row r="137" spans="1:16" hidden="1" x14ac:dyDescent="0.25">
      <c r="A137" s="181" t="s">
        <v>136</v>
      </c>
      <c r="B137" s="53">
        <v>1</v>
      </c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182"/>
      <c r="P137" s="52">
        <v>0.16</v>
      </c>
    </row>
    <row r="138" spans="1:16" hidden="1" x14ac:dyDescent="0.25">
      <c r="A138" s="181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182"/>
      <c r="P138" s="52">
        <v>0.17</v>
      </c>
    </row>
    <row r="139" spans="1:16" hidden="1" x14ac:dyDescent="0.25">
      <c r="A139" s="181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182"/>
      <c r="P139" s="52">
        <v>0.18</v>
      </c>
    </row>
    <row r="140" spans="1:16" hidden="1" x14ac:dyDescent="0.25">
      <c r="A140" s="104" t="s">
        <v>141</v>
      </c>
      <c r="B140" s="150">
        <f>(((B133*B134)*B135)*B136)*B137</f>
        <v>208800.69010386898</v>
      </c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05"/>
      <c r="P140" s="52">
        <v>0.19</v>
      </c>
    </row>
    <row r="141" spans="1:16" hidden="1" x14ac:dyDescent="0.25">
      <c r="P141" s="52">
        <v>0.2</v>
      </c>
    </row>
    <row r="142" spans="1:16" hidden="1" x14ac:dyDescent="0.25">
      <c r="P142" s="52">
        <v>0.21</v>
      </c>
    </row>
    <row r="143" spans="1:16" hidden="1" x14ac:dyDescent="0.25">
      <c r="P143" s="52">
        <v>0.22</v>
      </c>
    </row>
    <row r="144" spans="1:16" hidden="1" x14ac:dyDescent="0.25">
      <c r="P144" s="52">
        <v>0.23</v>
      </c>
    </row>
    <row r="145" spans="1:16" hidden="1" x14ac:dyDescent="0.25">
      <c r="P145" s="52">
        <v>0.24</v>
      </c>
    </row>
    <row r="146" spans="1:16" hidden="1" x14ac:dyDescent="0.25">
      <c r="P146" s="52">
        <v>0.25</v>
      </c>
    </row>
    <row r="147" spans="1:16" hidden="1" x14ac:dyDescent="0.25">
      <c r="P147" s="52">
        <v>0.26</v>
      </c>
    </row>
    <row r="148" spans="1:16" hidden="1" x14ac:dyDescent="0.25">
      <c r="P148" s="52">
        <v>0.27</v>
      </c>
    </row>
    <row r="149" spans="1:16" hidden="1" x14ac:dyDescent="0.25">
      <c r="B149" s="52">
        <v>1.1000000000000001</v>
      </c>
      <c r="P149" s="52">
        <v>0.28000000000000003</v>
      </c>
    </row>
    <row r="150" spans="1:16" hidden="1" x14ac:dyDescent="0.25">
      <c r="A150" s="184">
        <v>160</v>
      </c>
      <c r="B150" s="52">
        <v>1</v>
      </c>
      <c r="P150" s="52">
        <v>0.28999999999999998</v>
      </c>
    </row>
    <row r="151" spans="1:16" hidden="1" x14ac:dyDescent="0.25">
      <c r="A151" s="184">
        <v>130</v>
      </c>
      <c r="B151" s="52">
        <v>0.9</v>
      </c>
      <c r="P151" s="52">
        <v>0.3</v>
      </c>
    </row>
    <row r="152" spans="1:16" hidden="1" x14ac:dyDescent="0.25">
      <c r="A152" s="184">
        <v>100</v>
      </c>
      <c r="B152" s="52">
        <v>0.8</v>
      </c>
    </row>
    <row r="153" spans="1:16" hidden="1" x14ac:dyDescent="0.25">
      <c r="A153" s="184">
        <v>80</v>
      </c>
      <c r="B153" s="52">
        <v>0.7</v>
      </c>
    </row>
    <row r="154" spans="1:16" hidden="1" x14ac:dyDescent="0.25">
      <c r="A154" s="184">
        <v>60</v>
      </c>
      <c r="B154" s="52">
        <v>0.6</v>
      </c>
    </row>
    <row r="155" spans="1:16" hidden="1" x14ac:dyDescent="0.25"/>
    <row r="156" spans="1:16" hidden="1" x14ac:dyDescent="0.25"/>
    <row r="157" spans="1:16" hidden="1" x14ac:dyDescent="0.25"/>
  </sheetData>
  <mergeCells count="30">
    <mergeCell ref="D30:E30"/>
    <mergeCell ref="A30:A34"/>
    <mergeCell ref="E26:F26"/>
    <mergeCell ref="V8:W8"/>
    <mergeCell ref="V14:W14"/>
    <mergeCell ref="B30:C30"/>
    <mergeCell ref="E27:F27"/>
    <mergeCell ref="I30:J30"/>
    <mergeCell ref="I31:J31"/>
    <mergeCell ref="K30:L30"/>
    <mergeCell ref="K31:L31"/>
    <mergeCell ref="I29:L29"/>
    <mergeCell ref="C29:D29"/>
    <mergeCell ref="E28:F28"/>
    <mergeCell ref="V23:W23"/>
    <mergeCell ref="I2:R2"/>
    <mergeCell ref="Y2:AA2"/>
    <mergeCell ref="M109:N109"/>
    <mergeCell ref="M110:N110"/>
    <mergeCell ref="M112:O112"/>
    <mergeCell ref="V24:W24"/>
    <mergeCell ref="M106:P106"/>
    <mergeCell ref="V26:W26"/>
    <mergeCell ref="U125:W125"/>
    <mergeCell ref="U126:W126"/>
    <mergeCell ref="U121:W121"/>
    <mergeCell ref="Q123:R123"/>
    <mergeCell ref="U122:W122"/>
    <mergeCell ref="U123:W123"/>
    <mergeCell ref="U124:W124"/>
  </mergeCells>
  <conditionalFormatting sqref="W9">
    <cfRule type="cellIs" dxfId="9" priority="8" operator="lessThan">
      <formula>$G$4</formula>
    </cfRule>
    <cfRule type="cellIs" dxfId="8" priority="10" operator="lessThan">
      <formula>0.42</formula>
    </cfRule>
  </conditionalFormatting>
  <conditionalFormatting sqref="W10">
    <cfRule type="cellIs" dxfId="7" priority="7" operator="lessThan">
      <formula>$E$4</formula>
    </cfRule>
    <cfRule type="cellIs" dxfId="6" priority="9" operator="lessThan">
      <formula>2</formula>
    </cfRule>
  </conditionalFormatting>
  <conditionalFormatting sqref="W11">
    <cfRule type="cellIs" dxfId="5" priority="6" operator="lessThan">
      <formula>$I$4</formula>
    </cfRule>
  </conditionalFormatting>
  <conditionalFormatting sqref="W19">
    <cfRule type="cellIs" dxfId="4" priority="4" operator="lessThan">
      <formula>$M$4</formula>
    </cfRule>
  </conditionalFormatting>
  <conditionalFormatting sqref="W17">
    <cfRule type="cellIs" dxfId="3" priority="1" operator="lessThan">
      <formula>$K$4</formula>
    </cfRule>
  </conditionalFormatting>
  <conditionalFormatting sqref="W15">
    <cfRule type="cellIs" dxfId="2" priority="20" operator="lessThan">
      <formula>$X$4</formula>
    </cfRule>
  </conditionalFormatting>
  <conditionalFormatting sqref="W20">
    <cfRule type="cellIs" dxfId="1" priority="21" operator="lessThan">
      <formula>$T$4</formula>
    </cfRule>
  </conditionalFormatting>
  <conditionalFormatting sqref="W21">
    <cfRule type="cellIs" dxfId="0" priority="22" operator="lessThan">
      <formula>$V$4</formula>
    </cfRule>
  </conditionalFormatting>
  <dataValidations count="14">
    <dataValidation type="list" showInputMessage="1" showErrorMessage="1" promptTitle="Sieze the Initiative Bonus" prompt="Y= 50% of your Dex added to armor_x000a_n= dex is not included in your armor value" sqref="Z15">
      <formula1>$A$84:$A$85</formula1>
    </dataValidation>
    <dataValidation type="list" showInputMessage="1" showErrorMessage="1" promptTitle="One with Everything Bonus" prompt="Y= Adds AR and SR together_x000a_n= uses just AR value" sqref="Z17">
      <formula1>$B$84:$B$85</formula1>
    </dataValidation>
    <dataValidation type="list" showInputMessage="1" showErrorMessage="1" promptTitle="Dual Wielding" prompt="Y= Utilizes the data associated with both weapons_x000a_n= Utilizes the data associated only with your MH. The OH inputs are effectively blocked from the equations." sqref="T6">
      <formula1>$A$84:$A$85</formula1>
    </dataValidation>
    <dataValidation type="list" showInputMessage="1" showErrorMessage="1" promptTitle="Inna's 2-piece Bonus " prompt="Y= add 130 to dex_x000a_n=add 0 to dex" sqref="G26">
      <formula1>$A$84:$A$85</formula1>
    </dataValidation>
    <dataValidation type="list" showInputMessage="1" showErrorMessage="1" promptTitle="Blackthorn's 2-piece Bonus   " prompt="Y=add 100 to Vit_x000a_n= add 0 to vit" sqref="G27">
      <formula1>$A$84:$A$85</formula1>
    </dataValidation>
    <dataValidation type="list" allowBlank="1" showInputMessage="1" showErrorMessage="1" promptTitle="Ruby in Weapons socket" sqref="J32:J33">
      <formula1>$A$150:$A$154</formula1>
    </dataValidation>
    <dataValidation type="list" showInputMessage="1" showErrorMessage="1" promptTitle="Sieze the Initiative Bonus" prompt="Y= 50% of your Dex added to armor_x000a_n= dex is not included in your armor value" sqref="K32:K33">
      <formula1>$B$149:$B$154</formula1>
    </dataValidation>
    <dataValidation type="list" showInputMessage="1" showErrorMessage="1" promptTitle="Weapons Bonus for Gems" prompt="y = adds the value to your weapons base min/max_x000a_n= no values added." sqref="I32:I33">
      <formula1>$A$84:$A$85</formula1>
    </dataValidation>
    <dataValidation type="list" showInputMessage="1" showErrorMessage="1" promptTitle="Weapons Bonus Gem" prompt="y= adds the listed value to the sum total of Crit Damage._x000a_n= no values added" sqref="L32:L33">
      <formula1>$A$84:$A$85</formula1>
    </dataValidation>
    <dataValidation type="list" showInputMessage="1" showErrorMessage="1" sqref="C41 E32:E33 E41 C32:C33">
      <formula1>$D$86:$D$94</formula1>
    </dataValidation>
    <dataValidation type="list" showInputMessage="1" showErrorMessage="1" sqref="B41 D32:D33 D41 B32:B33">
      <formula1>$F$86:$F$94</formula1>
    </dataValidation>
    <dataValidation type="list" allowBlank="1" showInputMessage="1" showErrorMessage="1" promptTitle="Helm Vitality" prompt="Helm Vitality Gem" sqref="M25">
      <formula1>$F$107:$F$113</formula1>
    </dataValidation>
    <dataValidation type="list" showInputMessage="1" showErrorMessage="1" promptTitle="Nat's 2-piece Bonus   " prompt="y= +7% to CC_x000a_n= add nothing to CC" sqref="G28">
      <formula1>$A$84:$A$85</formula1>
    </dataValidation>
    <dataValidation type="list" allowBlank="1" showInputMessage="1" showErrorMessage="1" sqref="V27">
      <formula1>$P$131:$P$151</formula1>
    </dataValidation>
  </dataValidations>
  <pageMargins left="0.7" right="0.7" top="0.75" bottom="0.75" header="0.3" footer="0.3"/>
  <pageSetup orientation="portrait" r:id="rId1"/>
  <ignoredErrors>
    <ignoredError sqref="P1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0"/>
  <sheetViews>
    <sheetView workbookViewId="0">
      <selection activeCell="G19" sqref="G19"/>
    </sheetView>
  </sheetViews>
  <sheetFormatPr defaultRowHeight="15" x14ac:dyDescent="0.25"/>
  <cols>
    <col min="1" max="1" width="12" style="23" customWidth="1"/>
    <col min="2" max="11" width="11.7109375" customWidth="1"/>
    <col min="12" max="12" width="10.85546875" customWidth="1"/>
    <col min="13" max="13" width="12" customWidth="1"/>
    <col min="14" max="14" width="12.85546875" customWidth="1"/>
    <col min="15" max="15" width="4" customWidth="1"/>
    <col min="16" max="16" width="11.7109375" customWidth="1"/>
    <col min="17" max="17" width="12.7109375" customWidth="1"/>
  </cols>
  <sheetData>
    <row r="1" spans="1:17" ht="15.75" thickBot="1" x14ac:dyDescent="0.3">
      <c r="A1" s="23" t="s">
        <v>47</v>
      </c>
    </row>
    <row r="2" spans="1:17" ht="15.75" thickBot="1" x14ac:dyDescent="0.3">
      <c r="B2" s="20" t="s">
        <v>27</v>
      </c>
      <c r="C2" s="21">
        <v>0</v>
      </c>
      <c r="E2" t="s">
        <v>29</v>
      </c>
      <c r="F2" s="21"/>
      <c r="H2" s="20" t="s">
        <v>33</v>
      </c>
      <c r="I2" s="1" t="s">
        <v>34</v>
      </c>
      <c r="J2" s="29" t="e">
        <f>(F2/M5)-1</f>
        <v>#DIV/0!</v>
      </c>
      <c r="K2" s="30" t="str">
        <f>IF(F2&lt;Q4,"            Goal Achieved!", "     APS Goal Not Met, add ")</f>
        <v xml:space="preserve">     APS Goal Not Met, add </v>
      </c>
      <c r="L2" s="31"/>
      <c r="M2" s="32" t="e">
        <f>J2-L18</f>
        <v>#DIV/0!</v>
      </c>
    </row>
    <row r="3" spans="1:17" x14ac:dyDescent="0.25">
      <c r="A3" s="2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34" t="s">
        <v>4</v>
      </c>
      <c r="Q3" s="35">
        <f>F19</f>
        <v>5</v>
      </c>
    </row>
    <row r="4" spans="1:17" s="1" customFormat="1" x14ac:dyDescent="0.25">
      <c r="A4" s="24"/>
      <c r="B4" s="5" t="s">
        <v>31</v>
      </c>
      <c r="C4" s="5" t="s">
        <v>1</v>
      </c>
      <c r="D4" s="5" t="s">
        <v>2</v>
      </c>
      <c r="E4" s="5" t="s">
        <v>3</v>
      </c>
      <c r="F4" s="5" t="s">
        <v>24</v>
      </c>
      <c r="G4" s="5" t="s">
        <v>19</v>
      </c>
      <c r="H4" s="5" t="s">
        <v>5</v>
      </c>
      <c r="I4" s="5" t="s">
        <v>12</v>
      </c>
      <c r="J4" s="5" t="s">
        <v>44</v>
      </c>
      <c r="K4" s="5" t="s">
        <v>45</v>
      </c>
      <c r="L4" s="5" t="s">
        <v>17</v>
      </c>
      <c r="M4" s="5" t="s">
        <v>18</v>
      </c>
      <c r="N4" s="5" t="s">
        <v>20</v>
      </c>
      <c r="O4" s="5"/>
      <c r="P4" s="36" t="s">
        <v>26</v>
      </c>
      <c r="Q4" s="33">
        <f>M5*(1+L18)</f>
        <v>0</v>
      </c>
    </row>
    <row r="5" spans="1:17" x14ac:dyDescent="0.25">
      <c r="A5" s="24" t="s">
        <v>22</v>
      </c>
      <c r="B5" s="6"/>
      <c r="C5" s="6"/>
      <c r="D5" s="6"/>
      <c r="E5" s="6"/>
      <c r="F5" s="6"/>
      <c r="G5" s="6"/>
      <c r="H5" s="6"/>
      <c r="I5" s="7"/>
      <c r="J5" s="42"/>
      <c r="K5" s="42"/>
      <c r="L5" s="7"/>
      <c r="M5" s="8"/>
      <c r="N5" s="27"/>
      <c r="O5" s="4"/>
      <c r="P5" s="36"/>
      <c r="Q5" s="37"/>
    </row>
    <row r="6" spans="1:17" x14ac:dyDescent="0.25">
      <c r="A6" s="24" t="s">
        <v>42</v>
      </c>
      <c r="B6" s="47"/>
      <c r="C6" s="47"/>
      <c r="D6" s="47"/>
      <c r="E6" s="47"/>
      <c r="F6" s="47"/>
      <c r="G6" s="47"/>
      <c r="H6" s="47"/>
      <c r="I6" s="48"/>
      <c r="J6" s="49"/>
      <c r="K6" s="49"/>
      <c r="L6" s="48"/>
      <c r="M6" s="50"/>
      <c r="N6" s="51"/>
      <c r="O6" s="4"/>
      <c r="P6" s="36" t="s">
        <v>1</v>
      </c>
      <c r="Q6" s="33">
        <f>C22</f>
        <v>18.7</v>
      </c>
    </row>
    <row r="7" spans="1:17" x14ac:dyDescent="0.25">
      <c r="A7" s="24" t="s">
        <v>8</v>
      </c>
      <c r="B7" s="6"/>
      <c r="C7" s="6"/>
      <c r="D7" s="6"/>
      <c r="E7" s="6"/>
      <c r="F7" s="6"/>
      <c r="G7" s="6"/>
      <c r="H7" s="6"/>
      <c r="I7" s="7"/>
      <c r="J7" s="42"/>
      <c r="K7" s="42"/>
      <c r="L7" s="7"/>
      <c r="M7" s="8"/>
      <c r="N7" s="27"/>
      <c r="O7" s="4"/>
      <c r="P7" s="36" t="s">
        <v>38</v>
      </c>
      <c r="Q7" s="38">
        <f>(C19/(315+C19))</f>
        <v>5.6038357806412947E-2</v>
      </c>
    </row>
    <row r="8" spans="1:17" x14ac:dyDescent="0.25">
      <c r="A8" s="24" t="s">
        <v>6</v>
      </c>
      <c r="B8" s="9"/>
      <c r="C8" s="9"/>
      <c r="D8" s="9"/>
      <c r="E8" s="9"/>
      <c r="F8" s="9"/>
      <c r="G8" s="9"/>
      <c r="H8" s="9"/>
      <c r="I8" s="10"/>
      <c r="J8" s="43"/>
      <c r="K8" s="43"/>
      <c r="L8" s="10"/>
      <c r="M8" s="2"/>
      <c r="N8" s="28"/>
      <c r="O8" s="4"/>
      <c r="P8" s="36"/>
      <c r="Q8" s="38"/>
    </row>
    <row r="9" spans="1:17" x14ac:dyDescent="0.25">
      <c r="A9" s="24" t="s">
        <v>7</v>
      </c>
      <c r="B9" s="6"/>
      <c r="C9" s="6"/>
      <c r="D9" s="6"/>
      <c r="E9" s="6"/>
      <c r="F9" s="6"/>
      <c r="G9" s="6"/>
      <c r="H9" s="6"/>
      <c r="I9" s="7"/>
      <c r="J9" s="42"/>
      <c r="K9" s="42"/>
      <c r="L9" s="7"/>
      <c r="M9" s="8"/>
      <c r="N9" s="27"/>
      <c r="O9" s="4"/>
      <c r="P9" s="36" t="s">
        <v>0</v>
      </c>
      <c r="Q9" s="33">
        <f>B19</f>
        <v>67</v>
      </c>
    </row>
    <row r="10" spans="1:17" x14ac:dyDescent="0.25">
      <c r="A10" s="24" t="s">
        <v>9</v>
      </c>
      <c r="B10" s="6"/>
      <c r="C10" s="6"/>
      <c r="D10" s="6"/>
      <c r="E10" s="6"/>
      <c r="F10" s="6"/>
      <c r="G10" s="6"/>
      <c r="H10" s="6"/>
      <c r="I10" s="7"/>
      <c r="J10" s="42"/>
      <c r="K10" s="42"/>
      <c r="L10" s="7"/>
      <c r="M10" s="8"/>
      <c r="N10" s="27"/>
      <c r="O10" s="4"/>
      <c r="P10" s="36" t="s">
        <v>39</v>
      </c>
      <c r="Q10" s="38">
        <f>(B19/(3150+B19))</f>
        <v>2.0826857320484924E-2</v>
      </c>
    </row>
    <row r="11" spans="1:17" x14ac:dyDescent="0.25">
      <c r="A11" s="24" t="s">
        <v>10</v>
      </c>
      <c r="B11" s="6"/>
      <c r="C11" s="6"/>
      <c r="D11" s="6"/>
      <c r="E11" s="6"/>
      <c r="F11" s="6"/>
      <c r="G11" s="6"/>
      <c r="H11" s="6"/>
      <c r="I11" s="7"/>
      <c r="J11" s="42"/>
      <c r="K11" s="42"/>
      <c r="L11" s="7"/>
      <c r="M11" s="8"/>
      <c r="N11" s="27"/>
      <c r="O11" s="4"/>
      <c r="P11" s="36"/>
      <c r="Q11" s="38"/>
    </row>
    <row r="12" spans="1:17" x14ac:dyDescent="0.25">
      <c r="A12" s="24" t="s">
        <v>11</v>
      </c>
      <c r="B12" s="6"/>
      <c r="C12" s="6"/>
      <c r="D12" s="6"/>
      <c r="E12" s="6"/>
      <c r="F12" s="6"/>
      <c r="G12" s="6"/>
      <c r="H12" s="6"/>
      <c r="I12" s="7"/>
      <c r="J12" s="42"/>
      <c r="K12" s="42"/>
      <c r="L12" s="7"/>
      <c r="M12" s="8"/>
      <c r="N12" s="27"/>
      <c r="O12" s="4"/>
      <c r="P12" s="36" t="s">
        <v>25</v>
      </c>
      <c r="Q12" s="39">
        <f>((D21*35)*(1+I18))</f>
        <v>4445</v>
      </c>
    </row>
    <row r="13" spans="1:17" x14ac:dyDescent="0.25">
      <c r="A13" s="24" t="s">
        <v>43</v>
      </c>
      <c r="B13" s="6"/>
      <c r="C13" s="6"/>
      <c r="D13" s="6"/>
      <c r="E13" s="6"/>
      <c r="F13" s="6"/>
      <c r="G13" s="6"/>
      <c r="H13" s="6"/>
      <c r="I13" s="7"/>
      <c r="J13" s="42"/>
      <c r="K13" s="42"/>
      <c r="L13" s="7"/>
      <c r="M13" s="8"/>
      <c r="N13" s="27"/>
      <c r="O13" s="4"/>
      <c r="P13" s="36"/>
      <c r="Q13" s="39"/>
    </row>
    <row r="14" spans="1:17" x14ac:dyDescent="0.25">
      <c r="A14" s="24" t="s">
        <v>13</v>
      </c>
      <c r="B14" s="6"/>
      <c r="C14" s="6"/>
      <c r="D14" s="6"/>
      <c r="E14" s="6"/>
      <c r="F14" s="6"/>
      <c r="G14" s="6"/>
      <c r="H14" s="6"/>
      <c r="I14" s="7"/>
      <c r="J14" s="42"/>
      <c r="K14" s="42"/>
      <c r="L14" s="7"/>
      <c r="M14" s="8"/>
      <c r="N14" s="27"/>
      <c r="O14" s="4"/>
      <c r="P14" s="36" t="s">
        <v>40</v>
      </c>
      <c r="Q14" s="38">
        <f>1-((1-Q7)*(1-Q10))</f>
        <v>7.5698112244389493E-2</v>
      </c>
    </row>
    <row r="15" spans="1:17" x14ac:dyDescent="0.25">
      <c r="A15" s="24" t="s">
        <v>14</v>
      </c>
      <c r="B15" s="6"/>
      <c r="C15" s="6"/>
      <c r="D15" s="6"/>
      <c r="E15" s="6"/>
      <c r="F15" s="6"/>
      <c r="G15" s="6"/>
      <c r="H15" s="6"/>
      <c r="I15" s="7"/>
      <c r="J15" s="42"/>
      <c r="K15" s="42"/>
      <c r="L15" s="7"/>
      <c r="M15" s="8"/>
      <c r="N15" s="27"/>
      <c r="O15" s="4"/>
      <c r="P15" s="40" t="s">
        <v>37</v>
      </c>
      <c r="Q15" s="41">
        <f>Q12/(1-Q14)</f>
        <v>4809.0348606701946</v>
      </c>
    </row>
    <row r="16" spans="1:17" x14ac:dyDescent="0.25">
      <c r="A16" s="24" t="s">
        <v>15</v>
      </c>
      <c r="B16" s="6"/>
      <c r="C16" s="6"/>
      <c r="D16" s="6"/>
      <c r="E16" s="6"/>
      <c r="F16" s="6"/>
      <c r="G16" s="6"/>
      <c r="H16" s="6"/>
      <c r="I16" s="7"/>
      <c r="J16" s="42"/>
      <c r="K16" s="42"/>
      <c r="L16" s="7"/>
      <c r="M16" s="8"/>
      <c r="N16" s="27"/>
      <c r="O16" s="4"/>
      <c r="P16" s="22"/>
      <c r="Q16" s="22"/>
    </row>
    <row r="17" spans="1:17" x14ac:dyDescent="0.25">
      <c r="A17" s="24" t="s">
        <v>16</v>
      </c>
      <c r="B17" s="6"/>
      <c r="C17" s="6"/>
      <c r="D17" s="6"/>
      <c r="E17" s="6"/>
      <c r="F17" s="6"/>
      <c r="G17" s="6"/>
      <c r="H17" s="6"/>
      <c r="I17" s="7"/>
      <c r="J17" s="42"/>
      <c r="K17" s="42"/>
      <c r="L17" s="7"/>
      <c r="M17" s="8"/>
      <c r="N17" s="27"/>
      <c r="O17" s="4"/>
      <c r="P17" s="4" t="s">
        <v>41</v>
      </c>
    </row>
    <row r="18" spans="1:17" x14ac:dyDescent="0.25">
      <c r="A18" s="24" t="s">
        <v>28</v>
      </c>
      <c r="B18" s="5">
        <f>SUM(B5:B17)</f>
        <v>0</v>
      </c>
      <c r="C18" s="5">
        <f>SUM(C5:C17)</f>
        <v>0</v>
      </c>
      <c r="D18" s="5">
        <f t="shared" ref="D18:N18" si="0">SUM(D5:D17)</f>
        <v>0</v>
      </c>
      <c r="E18" s="5">
        <f>SUM(E5:E17)</f>
        <v>0</v>
      </c>
      <c r="F18" s="5">
        <f t="shared" si="0"/>
        <v>0</v>
      </c>
      <c r="G18" s="5">
        <f t="shared" si="0"/>
        <v>0</v>
      </c>
      <c r="H18" s="5">
        <f t="shared" si="0"/>
        <v>0</v>
      </c>
      <c r="I18" s="12">
        <f t="shared" si="0"/>
        <v>0</v>
      </c>
      <c r="J18" s="44">
        <f>SUM(J5:J17)</f>
        <v>0</v>
      </c>
      <c r="K18" s="44">
        <f>SUM(K5:K17)</f>
        <v>0</v>
      </c>
      <c r="L18" s="12">
        <f>SUM(L5:L17)</f>
        <v>0</v>
      </c>
      <c r="M18" s="5"/>
      <c r="N18" s="5">
        <f t="shared" si="0"/>
        <v>0</v>
      </c>
      <c r="O18" s="4"/>
      <c r="P18" s="11"/>
      <c r="Q18" t="s">
        <v>6</v>
      </c>
    </row>
    <row r="19" spans="1:17" ht="15.75" thickBot="1" x14ac:dyDescent="0.3">
      <c r="A19" s="24" t="s">
        <v>30</v>
      </c>
      <c r="B19" s="5">
        <f>(67+C2)+B18</f>
        <v>67</v>
      </c>
      <c r="C19" s="5">
        <f>C18+(E22/10)</f>
        <v>18.7</v>
      </c>
      <c r="D19" s="5">
        <f>(127+(2*C2))+D18</f>
        <v>127</v>
      </c>
      <c r="E19" s="5">
        <f>(187+(3*C2))+E18</f>
        <v>187</v>
      </c>
      <c r="F19" s="5">
        <f>5+F18</f>
        <v>5</v>
      </c>
      <c r="G19" s="5">
        <f>50+G18</f>
        <v>50</v>
      </c>
      <c r="H19" s="5"/>
      <c r="I19" s="5"/>
      <c r="J19" s="5"/>
      <c r="K19" s="5"/>
      <c r="L19" s="5"/>
      <c r="M19" s="14" t="s">
        <v>36</v>
      </c>
      <c r="N19" s="5">
        <f>SUM(P18:P21)</f>
        <v>0</v>
      </c>
      <c r="O19" s="4"/>
      <c r="P19" s="13"/>
      <c r="Q19" t="s">
        <v>21</v>
      </c>
    </row>
    <row r="20" spans="1:17" ht="16.5" thickTop="1" thickBot="1" x14ac:dyDescent="0.3">
      <c r="A20" s="24"/>
      <c r="B20" s="5"/>
      <c r="C20" s="14" t="s">
        <v>32</v>
      </c>
      <c r="D20" s="8"/>
      <c r="E20" s="46"/>
      <c r="F20" s="3"/>
      <c r="G20" s="22"/>
      <c r="H20" s="5"/>
      <c r="I20" s="5"/>
      <c r="J20" s="5"/>
      <c r="K20" s="5"/>
      <c r="L20" s="45"/>
      <c r="M20" s="25" t="s">
        <v>35</v>
      </c>
      <c r="N20" s="26">
        <f>N18+N19</f>
        <v>0</v>
      </c>
      <c r="O20" s="4"/>
      <c r="P20" s="13"/>
      <c r="Q20" t="s">
        <v>22</v>
      </c>
    </row>
    <row r="21" spans="1:17" ht="15.75" thickTop="1" x14ac:dyDescent="0.25">
      <c r="A21" s="24"/>
      <c r="B21" s="5" t="s">
        <v>46</v>
      </c>
      <c r="C21" s="6"/>
      <c r="D21" s="3">
        <f>D19+D20</f>
        <v>127</v>
      </c>
      <c r="E21" s="6"/>
      <c r="F21" s="3"/>
      <c r="G21" s="3"/>
      <c r="H21" s="5"/>
      <c r="I21" s="5"/>
      <c r="J21" s="5"/>
      <c r="K21" s="5"/>
      <c r="L21" s="5"/>
      <c r="M21" s="3"/>
      <c r="N21" s="3"/>
      <c r="O21" s="4"/>
      <c r="P21" s="15"/>
      <c r="Q21" t="s">
        <v>23</v>
      </c>
    </row>
    <row r="22" spans="1:17" x14ac:dyDescent="0.25">
      <c r="A22" s="24"/>
      <c r="B22" s="19"/>
      <c r="C22" s="3">
        <f>C19+C21</f>
        <v>18.7</v>
      </c>
      <c r="D22" s="5"/>
      <c r="E22" s="5">
        <f>SUM(E19:E21)</f>
        <v>187</v>
      </c>
      <c r="F22" s="16"/>
      <c r="G22" s="16"/>
      <c r="H22" s="4"/>
      <c r="I22" s="4"/>
      <c r="J22" s="4"/>
      <c r="K22" s="16"/>
      <c r="L22" s="16"/>
      <c r="M22" s="4"/>
      <c r="N22" s="14"/>
      <c r="O22" s="4"/>
    </row>
    <row r="23" spans="1:17" x14ac:dyDescent="0.25">
      <c r="A23" s="24"/>
      <c r="B23" s="5"/>
      <c r="C23" s="3"/>
      <c r="D23" s="19"/>
      <c r="E23" s="4"/>
      <c r="F23" s="16"/>
      <c r="G23" s="18"/>
      <c r="H23" s="4"/>
      <c r="I23" s="4"/>
      <c r="J23" s="4"/>
      <c r="K23" s="16"/>
      <c r="L23" s="4"/>
      <c r="M23" s="4"/>
      <c r="N23" s="4"/>
      <c r="O23" s="4"/>
    </row>
    <row r="24" spans="1:17" x14ac:dyDescent="0.25">
      <c r="A24" s="24"/>
      <c r="B24" s="5"/>
      <c r="C24" s="4"/>
      <c r="D24" s="4"/>
      <c r="E24" s="4"/>
      <c r="F24" s="16"/>
      <c r="G24" s="4"/>
      <c r="H24" s="16"/>
      <c r="I24" s="16"/>
      <c r="J24" s="16"/>
      <c r="K24" s="16"/>
      <c r="L24" s="4"/>
      <c r="M24" s="4"/>
      <c r="N24" s="4"/>
      <c r="O24" s="4"/>
    </row>
    <row r="25" spans="1:17" x14ac:dyDescent="0.25">
      <c r="A25" s="24"/>
      <c r="B25" s="5"/>
      <c r="C25" s="4"/>
      <c r="D25" s="4"/>
      <c r="E25" s="4"/>
      <c r="F25" s="18"/>
      <c r="G25" s="4"/>
      <c r="H25" s="16"/>
      <c r="I25" s="16"/>
      <c r="J25" s="16"/>
      <c r="K25" s="16"/>
      <c r="L25" s="4"/>
      <c r="M25" s="4"/>
      <c r="N25" s="4"/>
      <c r="O25" s="4"/>
    </row>
    <row r="26" spans="1:17" x14ac:dyDescent="0.25">
      <c r="A26" s="24"/>
      <c r="B26" s="5"/>
      <c r="C26" s="5"/>
      <c r="D26" s="4"/>
      <c r="E26" s="4"/>
      <c r="F26" s="4"/>
      <c r="H26" s="16"/>
      <c r="I26" s="17"/>
      <c r="J26" s="16"/>
      <c r="K26" s="18"/>
      <c r="L26" s="4"/>
      <c r="M26" s="4"/>
      <c r="N26" s="4"/>
      <c r="O26" s="4"/>
    </row>
    <row r="27" spans="1:17" x14ac:dyDescent="0.25">
      <c r="A27" s="24"/>
      <c r="B27" s="5"/>
      <c r="C27" s="5"/>
      <c r="D27" s="4"/>
      <c r="E27" s="4"/>
      <c r="F27" s="4"/>
      <c r="H27" s="18"/>
      <c r="I27" s="18"/>
      <c r="J27" s="18"/>
      <c r="K27" s="4"/>
      <c r="L27" s="4"/>
      <c r="M27" s="4"/>
      <c r="N27" s="4"/>
      <c r="O27" s="4"/>
    </row>
    <row r="28" spans="1:17" x14ac:dyDescent="0.25">
      <c r="C28" s="5"/>
      <c r="H28" s="4"/>
      <c r="I28" s="4"/>
      <c r="J28" s="4"/>
      <c r="K28" s="4"/>
      <c r="L28" s="4"/>
      <c r="M28" s="4"/>
      <c r="N28" s="4"/>
      <c r="O28" s="4"/>
    </row>
    <row r="29" spans="1:17" x14ac:dyDescent="0.25">
      <c r="C29" s="5"/>
      <c r="H29" s="4"/>
      <c r="I29" s="4"/>
      <c r="J29" s="4"/>
      <c r="M29" s="4"/>
      <c r="N29" s="4"/>
      <c r="O29" s="4"/>
    </row>
    <row r="30" spans="1:17" x14ac:dyDescent="0.25">
      <c r="N30" s="4"/>
      <c r="O30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3"/>
  <sheetViews>
    <sheetView showGridLines="0" tabSelected="1" zoomScaleNormal="100" workbookViewId="0">
      <pane xSplit="1" topLeftCell="B1" activePane="topRight" state="frozen"/>
      <selection pane="topRight" activeCell="S87" sqref="S87"/>
    </sheetView>
  </sheetViews>
  <sheetFormatPr defaultRowHeight="15" x14ac:dyDescent="0.25"/>
  <cols>
    <col min="1" max="1" width="19.5703125" customWidth="1"/>
    <col min="2" max="2" width="17.140625" customWidth="1"/>
    <col min="4" max="4" width="2" customWidth="1"/>
    <col min="9" max="9" width="9.140625" customWidth="1"/>
    <col min="16" max="16" width="9.85546875" customWidth="1"/>
    <col min="17" max="17" width="9.140625" customWidth="1"/>
    <col min="20" max="20" width="9.140625" customWidth="1"/>
    <col min="21" max="21" width="14.85546875" customWidth="1"/>
  </cols>
  <sheetData>
    <row r="1" spans="1:21" x14ac:dyDescent="0.25">
      <c r="A1" s="329"/>
    </row>
    <row r="2" spans="1:21" x14ac:dyDescent="0.25">
      <c r="A2" s="330"/>
      <c r="B2" s="327" t="s">
        <v>74</v>
      </c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</row>
    <row r="3" spans="1:21" ht="15" customHeight="1" x14ac:dyDescent="0.25">
      <c r="A3" s="59" t="s">
        <v>6</v>
      </c>
      <c r="B3" s="70"/>
      <c r="C3" s="70"/>
      <c r="D3" s="211"/>
      <c r="E3" s="212" t="s">
        <v>0</v>
      </c>
      <c r="F3" s="213" t="s">
        <v>66</v>
      </c>
      <c r="G3" s="212" t="s">
        <v>52</v>
      </c>
      <c r="H3" s="213" t="s">
        <v>53</v>
      </c>
      <c r="I3" s="212" t="s">
        <v>72</v>
      </c>
      <c r="J3" s="213" t="s">
        <v>51</v>
      </c>
      <c r="K3" s="212" t="s">
        <v>73</v>
      </c>
      <c r="L3" s="213" t="s">
        <v>54</v>
      </c>
      <c r="M3" s="212" t="s">
        <v>60</v>
      </c>
      <c r="N3" s="213" t="s">
        <v>17</v>
      </c>
      <c r="O3" s="212" t="s">
        <v>12</v>
      </c>
    </row>
    <row r="4" spans="1:21" x14ac:dyDescent="0.25">
      <c r="B4" s="53"/>
      <c r="C4" s="53"/>
      <c r="D4" s="53"/>
      <c r="E4" s="222">
        <v>403</v>
      </c>
      <c r="F4" s="220">
        <v>0</v>
      </c>
      <c r="G4" s="222">
        <v>50</v>
      </c>
      <c r="H4" s="221">
        <v>0</v>
      </c>
      <c r="I4" s="222">
        <v>283</v>
      </c>
      <c r="J4" s="221">
        <v>0</v>
      </c>
      <c r="K4" s="222">
        <v>145</v>
      </c>
      <c r="L4" s="276">
        <v>0</v>
      </c>
      <c r="M4" s="261">
        <v>0</v>
      </c>
      <c r="N4" s="276">
        <v>0.09</v>
      </c>
      <c r="O4" s="261">
        <v>0</v>
      </c>
    </row>
    <row r="5" spans="1:21" x14ac:dyDescent="0.25">
      <c r="B5" s="53"/>
      <c r="C5" s="192"/>
    </row>
    <row r="6" spans="1:21" x14ac:dyDescent="0.25">
      <c r="B6" s="53"/>
    </row>
    <row r="7" spans="1:21" x14ac:dyDescent="0.25">
      <c r="B7" s="53"/>
    </row>
    <row r="8" spans="1:21" ht="15" customHeight="1" x14ac:dyDescent="0.25">
      <c r="A8" s="59" t="s">
        <v>11</v>
      </c>
      <c r="B8" s="204"/>
      <c r="C8" s="204"/>
      <c r="D8" s="205"/>
      <c r="E8" s="110" t="s">
        <v>0</v>
      </c>
      <c r="F8" s="71" t="s">
        <v>66</v>
      </c>
      <c r="G8" s="110" t="s">
        <v>52</v>
      </c>
      <c r="H8" s="71" t="s">
        <v>53</v>
      </c>
      <c r="I8" s="110" t="s">
        <v>72</v>
      </c>
      <c r="J8" s="71" t="s">
        <v>51</v>
      </c>
      <c r="K8" s="110" t="s">
        <v>73</v>
      </c>
      <c r="L8" s="71" t="s">
        <v>54</v>
      </c>
      <c r="M8" s="110" t="s">
        <v>60</v>
      </c>
      <c r="N8" s="71" t="s">
        <v>17</v>
      </c>
      <c r="O8" s="110" t="s">
        <v>12</v>
      </c>
      <c r="P8" s="71" t="s">
        <v>129</v>
      </c>
    </row>
    <row r="9" spans="1:21" x14ac:dyDescent="0.25">
      <c r="B9" s="53"/>
      <c r="C9" s="53"/>
      <c r="D9" s="53"/>
      <c r="E9" s="224">
        <v>333</v>
      </c>
      <c r="F9" s="223">
        <v>0</v>
      </c>
      <c r="G9" s="224">
        <v>57</v>
      </c>
      <c r="H9" s="223">
        <v>77</v>
      </c>
      <c r="I9" s="224">
        <v>67</v>
      </c>
      <c r="J9" s="223">
        <v>289</v>
      </c>
      <c r="K9" s="224">
        <v>56</v>
      </c>
      <c r="L9" s="277">
        <v>0</v>
      </c>
      <c r="M9" s="261">
        <v>0</v>
      </c>
      <c r="N9" s="277">
        <v>0</v>
      </c>
      <c r="O9" s="225">
        <v>0.11</v>
      </c>
      <c r="P9" s="226">
        <v>0</v>
      </c>
    </row>
    <row r="10" spans="1:21" x14ac:dyDescent="0.25">
      <c r="B10" s="53"/>
      <c r="C10" s="53"/>
      <c r="G10" s="64"/>
      <c r="J10" s="53"/>
    </row>
    <row r="11" spans="1:21" x14ac:dyDescent="0.25">
      <c r="B11" s="61"/>
      <c r="C11" s="53"/>
    </row>
    <row r="12" spans="1:21" x14ac:dyDescent="0.25">
      <c r="B12" s="53"/>
      <c r="C12" s="53"/>
    </row>
    <row r="13" spans="1:21" ht="15" customHeight="1" x14ac:dyDescent="0.25">
      <c r="A13" s="59" t="s">
        <v>15</v>
      </c>
      <c r="B13" s="204"/>
      <c r="C13" s="204"/>
      <c r="D13" s="205"/>
      <c r="E13" s="110" t="s">
        <v>0</v>
      </c>
      <c r="F13" s="71" t="s">
        <v>66</v>
      </c>
      <c r="G13" s="110" t="s">
        <v>52</v>
      </c>
      <c r="H13" s="71" t="s">
        <v>53</v>
      </c>
      <c r="I13" s="110" t="s">
        <v>72</v>
      </c>
      <c r="J13" s="71" t="s">
        <v>51</v>
      </c>
      <c r="K13" s="110" t="s">
        <v>73</v>
      </c>
      <c r="L13" s="71" t="s">
        <v>54</v>
      </c>
      <c r="M13" s="110" t="s">
        <v>60</v>
      </c>
      <c r="N13" s="71" t="s">
        <v>17</v>
      </c>
      <c r="O13" s="110" t="s">
        <v>12</v>
      </c>
    </row>
    <row r="14" spans="1:21" x14ac:dyDescent="0.25">
      <c r="B14" s="53"/>
      <c r="C14" s="53"/>
      <c r="D14" s="53"/>
      <c r="E14" s="229">
        <v>600</v>
      </c>
      <c r="F14" s="227">
        <v>0</v>
      </c>
      <c r="G14" s="228">
        <v>57</v>
      </c>
      <c r="H14" s="227">
        <v>77</v>
      </c>
      <c r="I14" s="228">
        <v>31</v>
      </c>
      <c r="J14" s="227">
        <v>275</v>
      </c>
      <c r="K14" s="228">
        <v>0</v>
      </c>
      <c r="L14" s="277">
        <v>0</v>
      </c>
      <c r="M14" s="261">
        <v>0</v>
      </c>
      <c r="N14" s="277">
        <v>0</v>
      </c>
      <c r="O14" s="230">
        <v>0</v>
      </c>
    </row>
    <row r="15" spans="1:21" x14ac:dyDescent="0.25">
      <c r="B15" s="53"/>
      <c r="C15" s="53"/>
    </row>
    <row r="16" spans="1:21" x14ac:dyDescent="0.25">
      <c r="B16" s="61"/>
      <c r="C16" s="53"/>
    </row>
    <row r="17" spans="1:16" x14ac:dyDescent="0.25">
      <c r="B17" s="53"/>
      <c r="C17" s="53"/>
    </row>
    <row r="18" spans="1:16" ht="15" customHeight="1" x14ac:dyDescent="0.25">
      <c r="A18" s="68" t="s">
        <v>10</v>
      </c>
      <c r="B18" s="204"/>
      <c r="C18" s="204"/>
      <c r="D18" s="205"/>
      <c r="E18" s="110" t="s">
        <v>0</v>
      </c>
      <c r="F18" s="71" t="s">
        <v>66</v>
      </c>
      <c r="G18" s="110" t="s">
        <v>52</v>
      </c>
      <c r="H18" s="71" t="s">
        <v>53</v>
      </c>
      <c r="I18" s="110" t="s">
        <v>72</v>
      </c>
      <c r="J18" s="71" t="s">
        <v>51</v>
      </c>
      <c r="K18" s="110" t="s">
        <v>73</v>
      </c>
      <c r="L18" s="71" t="s">
        <v>54</v>
      </c>
      <c r="M18" s="110" t="s">
        <v>60</v>
      </c>
      <c r="N18" s="71" t="s">
        <v>17</v>
      </c>
      <c r="O18" s="110" t="s">
        <v>12</v>
      </c>
    </row>
    <row r="19" spans="1:16" x14ac:dyDescent="0.25">
      <c r="B19" s="53"/>
      <c r="C19" s="53"/>
      <c r="D19" s="53"/>
      <c r="E19" s="233">
        <v>468</v>
      </c>
      <c r="F19" s="231">
        <v>82</v>
      </c>
      <c r="G19" s="232">
        <v>56</v>
      </c>
      <c r="H19" s="231">
        <v>0</v>
      </c>
      <c r="I19" s="232">
        <v>0</v>
      </c>
      <c r="J19" s="231">
        <v>306</v>
      </c>
      <c r="K19" s="232">
        <v>0</v>
      </c>
      <c r="L19" s="277">
        <v>0.06</v>
      </c>
      <c r="M19" s="261">
        <v>0</v>
      </c>
      <c r="N19" s="277">
        <v>0</v>
      </c>
      <c r="O19" s="234">
        <v>0</v>
      </c>
    </row>
    <row r="20" spans="1:16" x14ac:dyDescent="0.25">
      <c r="B20" s="53"/>
      <c r="C20" s="53"/>
      <c r="D20" s="53"/>
    </row>
    <row r="21" spans="1:16" x14ac:dyDescent="0.25">
      <c r="B21" s="61"/>
      <c r="C21" s="63"/>
    </row>
    <row r="22" spans="1:16" x14ac:dyDescent="0.25">
      <c r="B22" s="53"/>
      <c r="C22" s="53"/>
    </row>
    <row r="23" spans="1:16" ht="15" customHeight="1" x14ac:dyDescent="0.25">
      <c r="A23" s="59" t="s">
        <v>9</v>
      </c>
      <c r="B23" s="204"/>
      <c r="C23" s="204"/>
      <c r="D23" s="205"/>
      <c r="E23" s="110" t="s">
        <v>0</v>
      </c>
      <c r="F23" s="71" t="s">
        <v>66</v>
      </c>
      <c r="G23" s="110" t="s">
        <v>52</v>
      </c>
      <c r="H23" s="71" t="s">
        <v>53</v>
      </c>
      <c r="I23" s="110" t="s">
        <v>72</v>
      </c>
      <c r="J23" s="71" t="s">
        <v>51</v>
      </c>
      <c r="K23" s="110" t="s">
        <v>73</v>
      </c>
      <c r="L23" s="71" t="s">
        <v>54</v>
      </c>
      <c r="M23" s="110" t="s">
        <v>60</v>
      </c>
      <c r="N23" s="71" t="s">
        <v>17</v>
      </c>
      <c r="O23" s="110" t="s">
        <v>12</v>
      </c>
      <c r="P23" s="194" t="s">
        <v>129</v>
      </c>
    </row>
    <row r="24" spans="1:16" x14ac:dyDescent="0.25">
      <c r="B24" s="53"/>
      <c r="C24" s="53"/>
      <c r="D24" s="53"/>
      <c r="E24" s="237">
        <v>265</v>
      </c>
      <c r="F24" s="235">
        <v>0</v>
      </c>
      <c r="G24" s="236">
        <v>52</v>
      </c>
      <c r="H24" s="235">
        <v>0</v>
      </c>
      <c r="I24" s="236">
        <v>0</v>
      </c>
      <c r="J24" s="235">
        <v>141</v>
      </c>
      <c r="K24" s="236">
        <v>155</v>
      </c>
      <c r="L24" s="277">
        <v>0</v>
      </c>
      <c r="M24" s="261">
        <v>0.5</v>
      </c>
      <c r="N24" s="277">
        <v>0.09</v>
      </c>
      <c r="O24" s="238">
        <v>0</v>
      </c>
      <c r="P24" s="195">
        <v>0</v>
      </c>
    </row>
    <row r="25" spans="1:16" x14ac:dyDescent="0.25">
      <c r="B25" s="53"/>
      <c r="C25" s="53"/>
    </row>
    <row r="26" spans="1:16" x14ac:dyDescent="0.25">
      <c r="B26" s="61"/>
      <c r="C26" s="69"/>
    </row>
    <row r="27" spans="1:16" x14ac:dyDescent="0.25">
      <c r="B27" s="53"/>
      <c r="C27" s="53"/>
    </row>
    <row r="28" spans="1:16" ht="15" customHeight="1" x14ac:dyDescent="0.25">
      <c r="A28" s="59" t="s">
        <v>7</v>
      </c>
      <c r="B28" s="204"/>
      <c r="C28" s="204"/>
      <c r="D28" s="205"/>
      <c r="E28" s="110" t="s">
        <v>0</v>
      </c>
      <c r="F28" s="71" t="s">
        <v>66</v>
      </c>
      <c r="G28" s="110" t="s">
        <v>52</v>
      </c>
      <c r="H28" s="71" t="s">
        <v>53</v>
      </c>
      <c r="I28" s="110" t="s">
        <v>72</v>
      </c>
      <c r="J28" s="71" t="s">
        <v>51</v>
      </c>
      <c r="K28" s="110" t="s">
        <v>73</v>
      </c>
      <c r="L28" s="71" t="s">
        <v>54</v>
      </c>
      <c r="M28" s="110" t="s">
        <v>60</v>
      </c>
      <c r="N28" s="71" t="s">
        <v>17</v>
      </c>
      <c r="O28" s="110" t="s">
        <v>12</v>
      </c>
    </row>
    <row r="29" spans="1:16" x14ac:dyDescent="0.25">
      <c r="B29" s="53"/>
      <c r="C29" s="53"/>
      <c r="D29" s="53"/>
      <c r="E29" s="240">
        <v>416</v>
      </c>
      <c r="F29" s="239">
        <v>0</v>
      </c>
      <c r="G29" s="240">
        <v>0</v>
      </c>
      <c r="H29" s="239">
        <v>0</v>
      </c>
      <c r="I29" s="240">
        <v>88</v>
      </c>
      <c r="J29" s="239">
        <v>153</v>
      </c>
      <c r="K29" s="240">
        <v>0</v>
      </c>
      <c r="L29" s="277">
        <v>0.01</v>
      </c>
      <c r="M29" s="261">
        <v>0</v>
      </c>
      <c r="N29" s="277">
        <v>0.09</v>
      </c>
      <c r="O29" s="241">
        <v>0</v>
      </c>
    </row>
    <row r="30" spans="1:16" x14ac:dyDescent="0.25">
      <c r="B30" s="53"/>
      <c r="C30" s="53"/>
      <c r="E30" s="64"/>
    </row>
    <row r="31" spans="1:16" x14ac:dyDescent="0.25">
      <c r="B31" s="61"/>
      <c r="C31" s="53"/>
    </row>
    <row r="32" spans="1:16" x14ac:dyDescent="0.25">
      <c r="B32" s="53"/>
      <c r="C32" s="53"/>
    </row>
    <row r="33" spans="1:19" ht="15" customHeight="1" x14ac:dyDescent="0.25">
      <c r="A33" s="68" t="s">
        <v>21</v>
      </c>
      <c r="B33" s="204"/>
      <c r="C33" s="204"/>
      <c r="D33" s="205"/>
      <c r="E33" s="110" t="s">
        <v>0</v>
      </c>
      <c r="F33" s="71" t="s">
        <v>66</v>
      </c>
      <c r="G33" s="110" t="s">
        <v>52</v>
      </c>
      <c r="H33" s="71" t="s">
        <v>53</v>
      </c>
      <c r="I33" s="110" t="s">
        <v>72</v>
      </c>
      <c r="J33" s="71" t="s">
        <v>51</v>
      </c>
      <c r="K33" s="110" t="s">
        <v>73</v>
      </c>
      <c r="L33" s="71" t="s">
        <v>54</v>
      </c>
      <c r="M33" s="110" t="s">
        <v>60</v>
      </c>
      <c r="N33" s="71" t="s">
        <v>17</v>
      </c>
      <c r="O33" s="110" t="s">
        <v>12</v>
      </c>
    </row>
    <row r="34" spans="1:19" x14ac:dyDescent="0.25">
      <c r="B34" s="53"/>
      <c r="C34" s="53"/>
      <c r="D34" s="53"/>
      <c r="E34" s="244">
        <v>363</v>
      </c>
      <c r="F34" s="242">
        <v>0</v>
      </c>
      <c r="G34" s="243">
        <v>45</v>
      </c>
      <c r="H34" s="242">
        <v>69</v>
      </c>
      <c r="I34" s="243">
        <v>76</v>
      </c>
      <c r="J34" s="242">
        <v>190</v>
      </c>
      <c r="K34" s="243">
        <v>0</v>
      </c>
      <c r="L34" s="277">
        <v>0.06</v>
      </c>
      <c r="M34" s="261">
        <v>0</v>
      </c>
      <c r="N34" s="277">
        <v>0</v>
      </c>
      <c r="O34" s="245">
        <v>0</v>
      </c>
    </row>
    <row r="35" spans="1:19" x14ac:dyDescent="0.25">
      <c r="B35" s="53"/>
      <c r="C35" s="53"/>
    </row>
    <row r="36" spans="1:19" x14ac:dyDescent="0.25">
      <c r="B36" s="61"/>
      <c r="C36" s="69"/>
      <c r="E36" s="52"/>
    </row>
    <row r="37" spans="1:19" x14ac:dyDescent="0.25">
      <c r="E37" s="57"/>
    </row>
    <row r="38" spans="1:19" ht="15" customHeight="1" x14ac:dyDescent="0.25">
      <c r="A38" s="68" t="s">
        <v>14</v>
      </c>
      <c r="B38" s="204"/>
      <c r="C38" s="204"/>
      <c r="D38" s="205"/>
      <c r="E38" s="110" t="s">
        <v>0</v>
      </c>
      <c r="F38" s="71" t="s">
        <v>66</v>
      </c>
      <c r="G38" s="110" t="s">
        <v>52</v>
      </c>
      <c r="H38" s="71" t="s">
        <v>53</v>
      </c>
      <c r="I38" s="110" t="s">
        <v>72</v>
      </c>
      <c r="J38" s="71" t="s">
        <v>51</v>
      </c>
      <c r="K38" s="110" t="s">
        <v>73</v>
      </c>
      <c r="L38" s="71" t="s">
        <v>54</v>
      </c>
      <c r="M38" s="110" t="s">
        <v>60</v>
      </c>
      <c r="N38" s="71" t="s">
        <v>17</v>
      </c>
      <c r="O38" s="110" t="s">
        <v>12</v>
      </c>
    </row>
    <row r="39" spans="1:19" x14ac:dyDescent="0.25">
      <c r="B39" s="72"/>
      <c r="C39" s="72"/>
      <c r="D39" s="72"/>
      <c r="E39" s="249">
        <v>309</v>
      </c>
      <c r="F39" s="246">
        <v>0</v>
      </c>
      <c r="G39" s="249">
        <v>0</v>
      </c>
      <c r="H39" s="246">
        <v>0</v>
      </c>
      <c r="I39" s="248">
        <v>0</v>
      </c>
      <c r="J39" s="247">
        <v>220</v>
      </c>
      <c r="K39" s="248">
        <v>155</v>
      </c>
      <c r="L39" s="277">
        <v>9.5000000000000001E-2</v>
      </c>
      <c r="M39" s="261">
        <v>0.28999999999999998</v>
      </c>
      <c r="N39" s="277">
        <v>7.0000000000000007E-2</v>
      </c>
      <c r="O39" s="250">
        <v>0</v>
      </c>
    </row>
    <row r="40" spans="1:19" x14ac:dyDescent="0.25">
      <c r="B40" s="53"/>
      <c r="C40" s="69"/>
      <c r="E40" s="52"/>
    </row>
    <row r="41" spans="1:19" x14ac:dyDescent="0.25">
      <c r="B41" s="61"/>
      <c r="C41" s="69"/>
      <c r="E41" s="52"/>
    </row>
    <row r="42" spans="1:19" x14ac:dyDescent="0.25">
      <c r="C42" s="52"/>
    </row>
    <row r="43" spans="1:19" ht="15" customHeight="1" x14ac:dyDescent="0.25">
      <c r="A43" s="59" t="s">
        <v>55</v>
      </c>
      <c r="B43" s="331" t="s">
        <v>145</v>
      </c>
      <c r="C43" s="332"/>
      <c r="D43" s="205"/>
      <c r="E43" s="110" t="s">
        <v>0</v>
      </c>
      <c r="F43" s="71" t="s">
        <v>66</v>
      </c>
      <c r="G43" s="110" t="s">
        <v>52</v>
      </c>
      <c r="H43" s="71" t="s">
        <v>53</v>
      </c>
      <c r="I43" s="110" t="s">
        <v>72</v>
      </c>
      <c r="J43" s="71" t="s">
        <v>51</v>
      </c>
      <c r="K43" s="110" t="s">
        <v>73</v>
      </c>
      <c r="L43" s="71" t="s">
        <v>54</v>
      </c>
      <c r="M43" s="110" t="s">
        <v>60</v>
      </c>
      <c r="N43" s="71" t="s">
        <v>17</v>
      </c>
      <c r="O43" s="110" t="s">
        <v>12</v>
      </c>
      <c r="P43" s="71" t="s">
        <v>110</v>
      </c>
      <c r="Q43" s="110" t="s">
        <v>111</v>
      </c>
      <c r="R43" s="71" t="s">
        <v>5</v>
      </c>
      <c r="S43" s="110" t="s">
        <v>129</v>
      </c>
    </row>
    <row r="44" spans="1:19" x14ac:dyDescent="0.25">
      <c r="B44" s="53"/>
      <c r="C44" s="53"/>
      <c r="D44" s="53"/>
      <c r="E44" s="255">
        <v>0</v>
      </c>
      <c r="F44" s="251">
        <v>0</v>
      </c>
      <c r="G44" s="255">
        <v>56</v>
      </c>
      <c r="H44" s="251">
        <v>0</v>
      </c>
      <c r="I44" s="254">
        <v>64</v>
      </c>
      <c r="J44" s="253">
        <v>86</v>
      </c>
      <c r="K44" s="254">
        <v>0</v>
      </c>
      <c r="L44" s="277">
        <v>4.4999999999999998E-2</v>
      </c>
      <c r="M44" s="261">
        <v>0</v>
      </c>
      <c r="N44" s="277">
        <v>0.09</v>
      </c>
      <c r="O44" s="256">
        <v>0</v>
      </c>
      <c r="P44" s="251">
        <v>32</v>
      </c>
      <c r="Q44" s="254">
        <v>73</v>
      </c>
      <c r="R44" s="252">
        <v>0</v>
      </c>
      <c r="S44" s="261">
        <v>0</v>
      </c>
    </row>
    <row r="45" spans="1:19" x14ac:dyDescent="0.25">
      <c r="B45" s="53"/>
      <c r="C45" s="53"/>
      <c r="R45" s="167"/>
    </row>
    <row r="46" spans="1:19" x14ac:dyDescent="0.25">
      <c r="B46" s="53"/>
      <c r="C46" s="63"/>
      <c r="D46" s="53"/>
      <c r="R46" s="167"/>
    </row>
    <row r="47" spans="1:19" x14ac:dyDescent="0.25">
      <c r="R47" s="167"/>
    </row>
    <row r="48" spans="1:19" x14ac:dyDescent="0.25">
      <c r="B48" s="325" t="s">
        <v>146</v>
      </c>
      <c r="C48" s="326"/>
      <c r="D48" s="205"/>
      <c r="E48" s="110" t="s">
        <v>0</v>
      </c>
      <c r="F48" s="71" t="s">
        <v>66</v>
      </c>
      <c r="G48" s="110" t="s">
        <v>52</v>
      </c>
      <c r="H48" s="71" t="s">
        <v>53</v>
      </c>
      <c r="I48" s="110" t="s">
        <v>72</v>
      </c>
      <c r="J48" s="71" t="s">
        <v>51</v>
      </c>
      <c r="K48" s="110" t="s">
        <v>73</v>
      </c>
      <c r="L48" s="71" t="s">
        <v>54</v>
      </c>
      <c r="M48" s="110" t="s">
        <v>60</v>
      </c>
      <c r="N48" s="71" t="s">
        <v>17</v>
      </c>
      <c r="O48" s="110" t="s">
        <v>12</v>
      </c>
      <c r="P48" s="71" t="s">
        <v>112</v>
      </c>
      <c r="Q48" s="110" t="s">
        <v>111</v>
      </c>
      <c r="R48" s="71" t="s">
        <v>5</v>
      </c>
      <c r="S48" s="110" t="s">
        <v>129</v>
      </c>
    </row>
    <row r="49" spans="1:19" x14ac:dyDescent="0.25">
      <c r="B49" s="53"/>
      <c r="C49" s="53"/>
      <c r="D49" s="53"/>
      <c r="E49" s="260">
        <v>206</v>
      </c>
      <c r="F49" s="257">
        <v>0</v>
      </c>
      <c r="G49" s="259">
        <v>59</v>
      </c>
      <c r="H49" s="257">
        <v>0</v>
      </c>
      <c r="I49" s="259">
        <v>52</v>
      </c>
      <c r="J49" s="257">
        <v>29</v>
      </c>
      <c r="K49" s="259">
        <v>0</v>
      </c>
      <c r="L49" s="277">
        <v>5.5E-2</v>
      </c>
      <c r="M49" s="261">
        <v>0</v>
      </c>
      <c r="N49" s="277">
        <v>0.08</v>
      </c>
      <c r="O49" s="261">
        <v>0</v>
      </c>
      <c r="P49" s="257">
        <v>31</v>
      </c>
      <c r="Q49" s="259">
        <v>63</v>
      </c>
      <c r="R49" s="258">
        <v>0</v>
      </c>
      <c r="S49" s="261">
        <v>0</v>
      </c>
    </row>
    <row r="50" spans="1:19" x14ac:dyDescent="0.25">
      <c r="B50" s="53"/>
      <c r="C50" s="53"/>
    </row>
    <row r="51" spans="1:19" x14ac:dyDescent="0.25">
      <c r="B51" s="53"/>
      <c r="C51" s="63"/>
    </row>
    <row r="53" spans="1:19" ht="15" customHeight="1" x14ac:dyDescent="0.25">
      <c r="A53" s="59" t="s">
        <v>58</v>
      </c>
      <c r="B53" s="178" t="s">
        <v>119</v>
      </c>
      <c r="C53" s="156">
        <v>1.4</v>
      </c>
      <c r="D53" s="206"/>
      <c r="E53" s="110" t="s">
        <v>66</v>
      </c>
      <c r="F53" s="71" t="s">
        <v>72</v>
      </c>
      <c r="G53" s="110" t="s">
        <v>51</v>
      </c>
      <c r="H53" s="71" t="s">
        <v>73</v>
      </c>
      <c r="I53" s="110" t="s">
        <v>60</v>
      </c>
      <c r="J53" s="71" t="s">
        <v>59</v>
      </c>
      <c r="K53" s="110" t="s">
        <v>5</v>
      </c>
      <c r="L53" s="71" t="s">
        <v>129</v>
      </c>
      <c r="M53" s="73"/>
      <c r="N53" s="73"/>
      <c r="O53" s="73"/>
      <c r="P53" s="73"/>
      <c r="Q53" s="73"/>
    </row>
    <row r="54" spans="1:19" x14ac:dyDescent="0.25">
      <c r="B54" s="181" t="s">
        <v>118</v>
      </c>
      <c r="C54" s="157">
        <v>0</v>
      </c>
      <c r="D54" s="53"/>
      <c r="E54" s="263">
        <v>0</v>
      </c>
      <c r="F54" s="262">
        <v>0</v>
      </c>
      <c r="G54" s="263">
        <v>0</v>
      </c>
      <c r="H54" s="262">
        <v>0</v>
      </c>
      <c r="I54" s="261">
        <v>0.96</v>
      </c>
      <c r="J54" s="277">
        <v>0.03</v>
      </c>
      <c r="K54" s="264">
        <v>0</v>
      </c>
      <c r="L54" s="265">
        <v>0</v>
      </c>
      <c r="M54" s="55"/>
      <c r="N54" s="55"/>
      <c r="O54" s="55"/>
      <c r="P54" s="54"/>
      <c r="Q54" s="54"/>
    </row>
    <row r="55" spans="1:19" x14ac:dyDescent="0.25">
      <c r="B55" s="185" t="s">
        <v>121</v>
      </c>
      <c r="C55" s="163">
        <v>0</v>
      </c>
      <c r="D55" s="53"/>
    </row>
    <row r="56" spans="1:19" x14ac:dyDescent="0.25">
      <c r="B56" s="185" t="s">
        <v>160</v>
      </c>
      <c r="C56" s="157">
        <v>0.39</v>
      </c>
      <c r="D56" s="53"/>
    </row>
    <row r="57" spans="1:19" x14ac:dyDescent="0.25">
      <c r="B57" s="186" t="s">
        <v>120</v>
      </c>
      <c r="C57" s="149">
        <v>500.4</v>
      </c>
      <c r="D57" s="53"/>
    </row>
    <row r="58" spans="1:19" x14ac:dyDescent="0.25">
      <c r="B58" s="187" t="s">
        <v>99</v>
      </c>
      <c r="C58" s="149">
        <v>1002.19</v>
      </c>
      <c r="D58" s="53"/>
    </row>
    <row r="59" spans="1:19" x14ac:dyDescent="0.25">
      <c r="B59" s="187" t="s">
        <v>116</v>
      </c>
      <c r="C59" s="149">
        <v>0</v>
      </c>
      <c r="D59" s="53"/>
    </row>
    <row r="60" spans="1:19" x14ac:dyDescent="0.25">
      <c r="B60" s="188" t="s">
        <v>117</v>
      </c>
      <c r="C60" s="149">
        <v>0</v>
      </c>
      <c r="D60" s="53"/>
    </row>
    <row r="61" spans="1:19" x14ac:dyDescent="0.25">
      <c r="B61" s="61"/>
      <c r="C61" s="53"/>
      <c r="D61" s="53"/>
    </row>
    <row r="62" spans="1:19" ht="15" customHeight="1" x14ac:dyDescent="0.25">
      <c r="A62" s="59" t="s">
        <v>61</v>
      </c>
      <c r="B62" s="178" t="s">
        <v>119</v>
      </c>
      <c r="C62" s="156"/>
      <c r="D62" s="206"/>
      <c r="E62" s="110" t="s">
        <v>66</v>
      </c>
      <c r="F62" s="71" t="s">
        <v>72</v>
      </c>
      <c r="G62" s="110" t="s">
        <v>51</v>
      </c>
      <c r="H62" s="71" t="s">
        <v>73</v>
      </c>
      <c r="I62" s="110" t="s">
        <v>60</v>
      </c>
      <c r="J62" s="71" t="s">
        <v>59</v>
      </c>
      <c r="K62" s="110" t="s">
        <v>5</v>
      </c>
      <c r="L62" s="71" t="s">
        <v>129</v>
      </c>
    </row>
    <row r="63" spans="1:19" x14ac:dyDescent="0.25">
      <c r="B63" s="181" t="s">
        <v>118</v>
      </c>
      <c r="C63" s="157"/>
      <c r="D63" s="53"/>
      <c r="E63" s="263">
        <v>0</v>
      </c>
      <c r="F63" s="262">
        <v>0</v>
      </c>
      <c r="G63" s="263">
        <v>0</v>
      </c>
      <c r="H63" s="262">
        <v>0</v>
      </c>
      <c r="I63" s="261">
        <v>0.96</v>
      </c>
      <c r="J63" s="277">
        <v>0.03</v>
      </c>
      <c r="K63" s="264">
        <v>0</v>
      </c>
      <c r="L63" s="265">
        <v>0</v>
      </c>
    </row>
    <row r="64" spans="1:19" x14ac:dyDescent="0.25">
      <c r="B64" s="185" t="s">
        <v>121</v>
      </c>
      <c r="C64" s="163"/>
      <c r="D64" s="53"/>
    </row>
    <row r="65" spans="1:19" x14ac:dyDescent="0.25">
      <c r="B65" s="185" t="s">
        <v>161</v>
      </c>
      <c r="C65" s="157"/>
      <c r="D65" s="53"/>
    </row>
    <row r="66" spans="1:19" x14ac:dyDescent="0.25">
      <c r="B66" s="187" t="s">
        <v>98</v>
      </c>
      <c r="C66" s="149"/>
      <c r="D66" s="53"/>
    </row>
    <row r="67" spans="1:19" x14ac:dyDescent="0.25">
      <c r="B67" s="187" t="s">
        <v>99</v>
      </c>
      <c r="C67" s="149"/>
      <c r="D67" s="63"/>
      <c r="E67" s="333"/>
      <c r="F67" s="333"/>
      <c r="G67" s="333"/>
      <c r="H67" s="333"/>
      <c r="I67" s="333"/>
      <c r="J67" s="333"/>
      <c r="K67" s="333"/>
    </row>
    <row r="68" spans="1:19" x14ac:dyDescent="0.25">
      <c r="B68" s="187" t="s">
        <v>101</v>
      </c>
      <c r="C68" s="149"/>
      <c r="D68" s="63"/>
    </row>
    <row r="69" spans="1:19" x14ac:dyDescent="0.25">
      <c r="B69" s="188" t="s">
        <v>102</v>
      </c>
      <c r="C69" s="149"/>
      <c r="D69" s="67"/>
    </row>
    <row r="70" spans="1:19" x14ac:dyDescent="0.25">
      <c r="B70" s="61"/>
      <c r="C70" s="53"/>
      <c r="D70" s="53"/>
    </row>
    <row r="72" spans="1:19" ht="15" customHeight="1" x14ac:dyDescent="0.25">
      <c r="A72" s="59" t="s">
        <v>16</v>
      </c>
      <c r="B72" s="204"/>
      <c r="C72" s="204"/>
      <c r="D72" s="205"/>
      <c r="E72" s="110" t="s">
        <v>0</v>
      </c>
      <c r="F72" s="71" t="s">
        <v>66</v>
      </c>
      <c r="G72" s="110" t="s">
        <v>52</v>
      </c>
      <c r="H72" s="71" t="s">
        <v>53</v>
      </c>
      <c r="I72" s="110" t="s">
        <v>72</v>
      </c>
      <c r="J72" s="71" t="s">
        <v>51</v>
      </c>
      <c r="K72" s="110" t="s">
        <v>73</v>
      </c>
      <c r="L72" s="71" t="s">
        <v>54</v>
      </c>
      <c r="M72" s="110" t="s">
        <v>60</v>
      </c>
      <c r="N72" s="71" t="s">
        <v>17</v>
      </c>
      <c r="O72" s="110" t="s">
        <v>12</v>
      </c>
      <c r="P72" s="71" t="s">
        <v>112</v>
      </c>
      <c r="Q72" s="110" t="s">
        <v>111</v>
      </c>
      <c r="R72" s="71" t="s">
        <v>5</v>
      </c>
      <c r="S72" s="110" t="s">
        <v>129</v>
      </c>
    </row>
    <row r="73" spans="1:19" x14ac:dyDescent="0.25">
      <c r="B73" s="53"/>
      <c r="C73" s="53"/>
      <c r="D73" s="53"/>
      <c r="E73" s="200">
        <v>0</v>
      </c>
      <c r="F73" s="197">
        <v>0</v>
      </c>
      <c r="G73" s="199">
        <v>0</v>
      </c>
      <c r="H73" s="197">
        <v>0</v>
      </c>
      <c r="I73" s="199">
        <v>0</v>
      </c>
      <c r="J73" s="197">
        <v>221</v>
      </c>
      <c r="K73" s="199">
        <v>0</v>
      </c>
      <c r="L73" s="277">
        <v>0.1</v>
      </c>
      <c r="M73" s="261">
        <v>0.86</v>
      </c>
      <c r="N73" s="277">
        <v>0</v>
      </c>
      <c r="O73" s="201">
        <v>0</v>
      </c>
      <c r="P73" s="197">
        <v>0</v>
      </c>
      <c r="Q73" s="199">
        <v>30</v>
      </c>
      <c r="R73" s="198">
        <v>0</v>
      </c>
      <c r="S73" s="201">
        <v>0</v>
      </c>
    </row>
    <row r="74" spans="1:19" x14ac:dyDescent="0.25">
      <c r="B74" s="53"/>
      <c r="C74" s="53"/>
      <c r="D74" s="53"/>
    </row>
    <row r="75" spans="1:19" x14ac:dyDescent="0.25">
      <c r="B75" s="53"/>
      <c r="C75" s="63"/>
      <c r="D75" s="53"/>
    </row>
    <row r="76" spans="1:19" x14ac:dyDescent="0.25">
      <c r="B76" s="53"/>
      <c r="C76" s="63"/>
      <c r="D76" s="53"/>
    </row>
    <row r="77" spans="1:19" x14ac:dyDescent="0.25">
      <c r="B77" s="53"/>
      <c r="C77" s="63"/>
      <c r="D77" s="53"/>
    </row>
    <row r="78" spans="1:19" x14ac:dyDescent="0.25">
      <c r="A78" s="59" t="s">
        <v>151</v>
      </c>
      <c r="B78" s="178"/>
      <c r="C78" s="179"/>
      <c r="D78" s="180"/>
      <c r="E78" s="110" t="s">
        <v>0</v>
      </c>
      <c r="F78" s="194" t="s">
        <v>66</v>
      </c>
      <c r="G78" s="110" t="s">
        <v>52</v>
      </c>
      <c r="H78" s="194" t="s">
        <v>53</v>
      </c>
      <c r="I78" s="110" t="s">
        <v>72</v>
      </c>
      <c r="J78" s="194" t="s">
        <v>51</v>
      </c>
      <c r="K78" s="110" t="s">
        <v>73</v>
      </c>
      <c r="L78" s="194" t="s">
        <v>54</v>
      </c>
      <c r="M78" s="110" t="s">
        <v>12</v>
      </c>
      <c r="N78" s="274" t="s">
        <v>152</v>
      </c>
      <c r="O78" s="56" t="s">
        <v>162</v>
      </c>
      <c r="P78" s="56" t="s">
        <v>163</v>
      </c>
    </row>
    <row r="79" spans="1:19" x14ac:dyDescent="0.25">
      <c r="B79" s="53"/>
      <c r="C79" s="53"/>
      <c r="E79" s="263">
        <v>982</v>
      </c>
      <c r="F79" s="262">
        <v>0</v>
      </c>
      <c r="G79" s="263">
        <v>32</v>
      </c>
      <c r="H79" s="258">
        <v>50</v>
      </c>
      <c r="I79" s="263">
        <v>270</v>
      </c>
      <c r="J79" s="258">
        <v>243</v>
      </c>
      <c r="K79" s="263">
        <v>0</v>
      </c>
      <c r="L79" s="276">
        <v>0.09</v>
      </c>
      <c r="M79" s="261">
        <v>0</v>
      </c>
      <c r="N79" s="287">
        <v>0.1</v>
      </c>
      <c r="O79" s="262">
        <v>3706</v>
      </c>
      <c r="P79" s="262">
        <v>4706</v>
      </c>
    </row>
    <row r="80" spans="1:19" x14ac:dyDescent="0.25">
      <c r="B80" s="53"/>
      <c r="C80" s="53"/>
    </row>
    <row r="81" spans="2:19" x14ac:dyDescent="0.25">
      <c r="B81" s="53"/>
      <c r="C81" s="53"/>
    </row>
    <row r="82" spans="2:19" x14ac:dyDescent="0.25">
      <c r="B82" s="53"/>
      <c r="C82" s="53"/>
      <c r="R82" s="53"/>
      <c r="S82" s="73"/>
    </row>
    <row r="83" spans="2:19" x14ac:dyDescent="0.25">
      <c r="B83" s="53"/>
      <c r="C83" s="53"/>
      <c r="R83" s="53"/>
      <c r="S83" s="275"/>
    </row>
  </sheetData>
  <mergeCells count="5">
    <mergeCell ref="B48:C48"/>
    <mergeCell ref="B2:U2"/>
    <mergeCell ref="A1:A2"/>
    <mergeCell ref="B43:C43"/>
    <mergeCell ref="E67:K6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Skorn</vt:lpstr>
      <vt:lpstr>Gear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Connie</dc:creator>
  <cp:lastModifiedBy>ed</cp:lastModifiedBy>
  <dcterms:created xsi:type="dcterms:W3CDTF">2013-03-05T18:24:57Z</dcterms:created>
  <dcterms:modified xsi:type="dcterms:W3CDTF">2013-08-11T15:57:13Z</dcterms:modified>
</cp:coreProperties>
</file>